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Humera\Desktop\RE Work 26\SMAjram Soft\GitHubPack\"/>
    </mc:Choice>
  </mc:AlternateContent>
  <xr:revisionPtr revIDLastSave="0" documentId="13_ncr:1_{6AD447A9-88D3-4B11-BA84-C1612D0BAC9C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ShahAjram" sheetId="1" r:id="rId1"/>
    <sheet name="Ajram_Fonts" sheetId="2" r:id="rId2"/>
    <sheet name="Gen 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3" l="1"/>
  <c r="K6" i="3" s="1"/>
  <c r="J7" i="3" s="1"/>
  <c r="K7" i="3" s="1"/>
  <c r="J8" i="3" s="1"/>
  <c r="K8" i="3" s="1"/>
  <c r="J9" i="3" s="1"/>
  <c r="K9" i="3" s="1"/>
  <c r="J10" i="3" s="1"/>
  <c r="K10" i="3" s="1"/>
  <c r="J11" i="3" s="1"/>
  <c r="K11" i="3" s="1"/>
  <c r="J12" i="3" s="1"/>
  <c r="K12" i="3" s="1"/>
  <c r="J13" i="3" s="1"/>
  <c r="K13" i="3" s="1"/>
  <c r="J14" i="3" s="1"/>
  <c r="K14" i="3" s="1"/>
  <c r="J15" i="3" s="1"/>
  <c r="K15" i="3" s="1"/>
  <c r="J16" i="3" s="1"/>
  <c r="K16" i="3" s="1"/>
  <c r="J17" i="3" s="1"/>
  <c r="K17" i="3" s="1"/>
  <c r="J18" i="3" s="1"/>
  <c r="K18" i="3" s="1"/>
  <c r="J19" i="3" s="1"/>
  <c r="K19" i="3" s="1"/>
  <c r="J20" i="3" s="1"/>
  <c r="K20" i="3" s="1"/>
  <c r="J21" i="3" s="1"/>
  <c r="K21" i="3" s="1"/>
  <c r="J22" i="3" s="1"/>
  <c r="K22" i="3" s="1"/>
  <c r="J23" i="3" s="1"/>
  <c r="K23" i="3" s="1"/>
  <c r="J24" i="3" s="1"/>
  <c r="K24" i="3" s="1"/>
  <c r="J25" i="3" s="1"/>
  <c r="K25" i="3" s="1"/>
  <c r="J26" i="3" s="1"/>
  <c r="K26" i="3" s="1"/>
  <c r="J27" i="3" s="1"/>
  <c r="K27" i="3" s="1"/>
  <c r="J28" i="3" s="1"/>
  <c r="K28" i="3" s="1"/>
  <c r="J29" i="3" s="1"/>
  <c r="K29" i="3" s="1"/>
  <c r="J30" i="3" s="1"/>
  <c r="K30" i="3" s="1"/>
  <c r="J31" i="3" s="1"/>
  <c r="K31" i="3" s="1"/>
  <c r="J32" i="3" s="1"/>
  <c r="K32" i="3" s="1"/>
  <c r="J33" i="3" s="1"/>
  <c r="K33" i="3" s="1"/>
  <c r="J34" i="3" s="1"/>
  <c r="K34" i="3" s="1"/>
  <c r="J35" i="3" s="1"/>
  <c r="K35" i="3" s="1"/>
  <c r="J36" i="3" s="1"/>
  <c r="K36" i="3" s="1"/>
  <c r="J37" i="3" s="1"/>
  <c r="K37" i="3" s="1"/>
  <c r="J38" i="3" s="1"/>
  <c r="K38" i="3" s="1"/>
  <c r="J39" i="3" s="1"/>
  <c r="K39" i="3" s="1"/>
  <c r="J40" i="3" s="1"/>
  <c r="K40" i="3" s="1"/>
  <c r="J41" i="3" s="1"/>
  <c r="K41" i="3" s="1"/>
  <c r="J42" i="3" s="1"/>
  <c r="K42" i="3" s="1"/>
  <c r="J43" i="3" s="1"/>
  <c r="K43" i="3" s="1"/>
  <c r="J44" i="3" s="1"/>
  <c r="K44" i="3" s="1"/>
  <c r="J45" i="3" s="1"/>
  <c r="K45" i="3" s="1"/>
  <c r="J46" i="3" s="1"/>
  <c r="K46" i="3" s="1"/>
  <c r="J47" i="3" s="1"/>
  <c r="K47" i="3" s="1"/>
  <c r="J48" i="3" s="1"/>
  <c r="K48" i="3" s="1"/>
  <c r="J49" i="3" s="1"/>
  <c r="K49" i="3" s="1"/>
  <c r="J50" i="3" s="1"/>
  <c r="K50" i="3" s="1"/>
  <c r="J51" i="3" s="1"/>
  <c r="K51" i="3" s="1"/>
  <c r="J52" i="3" s="1"/>
  <c r="K52" i="3" s="1"/>
  <c r="J53" i="3" s="1"/>
  <c r="K53" i="3" s="1"/>
  <c r="J54" i="3" s="1"/>
  <c r="K54" i="3" s="1"/>
  <c r="J55" i="3" s="1"/>
  <c r="K55" i="3" s="1"/>
  <c r="J56" i="3" s="1"/>
  <c r="K56" i="3" s="1"/>
  <c r="J57" i="3" s="1"/>
  <c r="K57" i="3" s="1"/>
  <c r="J58" i="3" s="1"/>
  <c r="K58" i="3" s="1"/>
  <c r="J59" i="3" s="1"/>
  <c r="K59" i="3" s="1"/>
  <c r="J60" i="3" s="1"/>
  <c r="K60" i="3" s="1"/>
  <c r="J61" i="3" s="1"/>
  <c r="K61" i="3" s="1"/>
  <c r="J62" i="3" s="1"/>
  <c r="K62" i="3" s="1"/>
  <c r="J63" i="3" s="1"/>
  <c r="K63" i="3" s="1"/>
  <c r="J64" i="3" s="1"/>
  <c r="K64" i="3" s="1"/>
  <c r="J65" i="3" s="1"/>
  <c r="K65" i="3" s="1"/>
  <c r="J66" i="3" s="1"/>
  <c r="K66" i="3" s="1"/>
  <c r="J67" i="3" s="1"/>
  <c r="K67" i="3" s="1"/>
  <c r="J68" i="3" s="1"/>
  <c r="K68" i="3" s="1"/>
  <c r="J69" i="3" s="1"/>
  <c r="K69" i="3" s="1"/>
  <c r="J70" i="3" s="1"/>
  <c r="K70" i="3" s="1"/>
  <c r="J71" i="3" s="1"/>
  <c r="K71" i="3" s="1"/>
  <c r="J72" i="3" s="1"/>
  <c r="K72" i="3" s="1"/>
  <c r="J73" i="3" s="1"/>
  <c r="K73" i="3" s="1"/>
  <c r="J74" i="3" s="1"/>
  <c r="K74" i="3" s="1"/>
  <c r="J75" i="3" s="1"/>
  <c r="K75" i="3" s="1"/>
  <c r="J76" i="3" s="1"/>
  <c r="K76" i="3" s="1"/>
  <c r="J77" i="3" s="1"/>
  <c r="K77" i="3" s="1"/>
  <c r="J78" i="3" s="1"/>
  <c r="K78" i="3" s="1"/>
  <c r="J79" i="3" s="1"/>
  <c r="K79" i="3" s="1"/>
  <c r="J80" i="3" s="1"/>
  <c r="K80" i="3" s="1"/>
  <c r="J81" i="3" s="1"/>
  <c r="K81" i="3" s="1"/>
  <c r="J82" i="3" s="1"/>
  <c r="K82" i="3" s="1"/>
  <c r="J83" i="3" s="1"/>
  <c r="K83" i="3" s="1"/>
  <c r="J84" i="3" s="1"/>
  <c r="K84" i="3" s="1"/>
  <c r="J85" i="3" s="1"/>
  <c r="K85" i="3" s="1"/>
  <c r="J86" i="3" s="1"/>
  <c r="K86" i="3" s="1"/>
  <c r="J87" i="3" s="1"/>
  <c r="K87" i="3" s="1"/>
  <c r="J88" i="3" s="1"/>
  <c r="K88" i="3" s="1"/>
  <c r="J89" i="3" s="1"/>
  <c r="K89" i="3" s="1"/>
  <c r="J90" i="3" s="1"/>
  <c r="K90" i="3" s="1"/>
  <c r="J91" i="3" s="1"/>
  <c r="K91" i="3" s="1"/>
  <c r="J92" i="3" s="1"/>
  <c r="K92" i="3" s="1"/>
  <c r="J93" i="3" s="1"/>
  <c r="K93" i="3" s="1"/>
  <c r="J94" i="3" s="1"/>
  <c r="K94" i="3" s="1"/>
  <c r="J95" i="3" s="1"/>
  <c r="K95" i="3" s="1"/>
  <c r="J96" i="3" s="1"/>
  <c r="K96" i="3" s="1"/>
  <c r="J97" i="3" s="1"/>
  <c r="K97" i="3" s="1"/>
  <c r="J98" i="3" s="1"/>
  <c r="K98" i="3" s="1"/>
  <c r="J99" i="3" s="1"/>
  <c r="K99" i="3" s="1"/>
  <c r="J100" i="3" s="1"/>
  <c r="K100" i="3" s="1"/>
  <c r="J101" i="3" s="1"/>
  <c r="K101" i="3" s="1"/>
  <c r="J102" i="3" s="1"/>
  <c r="K102" i="3" s="1"/>
  <c r="J103" i="3" s="1"/>
  <c r="K103" i="3" s="1"/>
  <c r="J104" i="3" s="1"/>
  <c r="K104" i="3" s="1"/>
  <c r="J105" i="3" s="1"/>
  <c r="K105" i="3" s="1"/>
  <c r="J106" i="3" s="1"/>
  <c r="K106" i="3" s="1"/>
  <c r="J107" i="3" s="1"/>
  <c r="K107" i="3" s="1"/>
  <c r="J108" i="3" s="1"/>
  <c r="K108" i="3" s="1"/>
  <c r="J109" i="3" s="1"/>
  <c r="K109" i="3" s="1"/>
  <c r="J110" i="3" s="1"/>
  <c r="K110" i="3" s="1"/>
  <c r="J111" i="3" s="1"/>
  <c r="K111" i="3" s="1"/>
  <c r="J112" i="3" s="1"/>
  <c r="K112" i="3" s="1"/>
  <c r="J113" i="3" s="1"/>
  <c r="K113" i="3" s="1"/>
  <c r="J114" i="3" s="1"/>
  <c r="K114" i="3" s="1"/>
  <c r="J115" i="3" s="1"/>
  <c r="K115" i="3" s="1"/>
  <c r="J116" i="3" s="1"/>
  <c r="K116" i="3" s="1"/>
  <c r="J117" i="3" s="1"/>
  <c r="K117" i="3" s="1"/>
  <c r="J118" i="3" s="1"/>
  <c r="K118" i="3" s="1"/>
  <c r="J119" i="3" s="1"/>
  <c r="K119" i="3" s="1"/>
  <c r="J120" i="3" s="1"/>
  <c r="K120" i="3" s="1"/>
  <c r="J121" i="3" s="1"/>
  <c r="K121" i="3" s="1"/>
  <c r="J122" i="3" s="1"/>
  <c r="K122" i="3" s="1"/>
  <c r="J123" i="3" s="1"/>
  <c r="K123" i="3" s="1"/>
  <c r="J124" i="3" s="1"/>
  <c r="K124" i="3" s="1"/>
  <c r="J125" i="3" s="1"/>
  <c r="K125" i="3" s="1"/>
  <c r="J126" i="3" s="1"/>
  <c r="K126" i="3" s="1"/>
  <c r="J127" i="3" s="1"/>
  <c r="K127" i="3" s="1"/>
  <c r="J128" i="3" s="1"/>
  <c r="K128" i="3" s="1"/>
  <c r="J129" i="3" s="1"/>
  <c r="K129" i="3" s="1"/>
  <c r="J130" i="3" s="1"/>
  <c r="K130" i="3" s="1"/>
  <c r="J131" i="3" s="1"/>
  <c r="K131" i="3" s="1"/>
  <c r="J132" i="3" s="1"/>
  <c r="K132" i="3" s="1"/>
  <c r="J133" i="3" s="1"/>
  <c r="K133" i="3" s="1"/>
  <c r="J134" i="3" s="1"/>
  <c r="K134" i="3" s="1"/>
  <c r="J135" i="3" s="1"/>
  <c r="K135" i="3" s="1"/>
  <c r="J136" i="3" s="1"/>
  <c r="K136" i="3" s="1"/>
  <c r="J137" i="3" s="1"/>
  <c r="K137" i="3" s="1"/>
  <c r="J138" i="3" s="1"/>
  <c r="K138" i="3" s="1"/>
  <c r="J139" i="3" s="1"/>
  <c r="K139" i="3" s="1"/>
  <c r="J140" i="3" s="1"/>
  <c r="K140" i="3" s="1"/>
  <c r="J141" i="3" s="1"/>
  <c r="K141" i="3" s="1"/>
  <c r="J142" i="3" s="1"/>
  <c r="K142" i="3" s="1"/>
  <c r="J143" i="3" s="1"/>
  <c r="K143" i="3" s="1"/>
  <c r="J144" i="3" s="1"/>
  <c r="K144" i="3" s="1"/>
  <c r="J145" i="3" s="1"/>
  <c r="K145" i="3" s="1"/>
  <c r="J146" i="3" s="1"/>
  <c r="K146" i="3" s="1"/>
  <c r="J147" i="3" s="1"/>
  <c r="K147" i="3" s="1"/>
  <c r="J148" i="3" s="1"/>
  <c r="K148" i="3" s="1"/>
  <c r="J149" i="3" s="1"/>
  <c r="K149" i="3" s="1"/>
  <c r="J150" i="3" s="1"/>
  <c r="K150" i="3" s="1"/>
  <c r="J151" i="3" s="1"/>
  <c r="K151" i="3" s="1"/>
  <c r="J152" i="3" s="1"/>
  <c r="K152" i="3" s="1"/>
  <c r="J153" i="3" s="1"/>
  <c r="K153" i="3" s="1"/>
  <c r="J154" i="3" s="1"/>
  <c r="K154" i="3" s="1"/>
  <c r="J155" i="3" s="1"/>
  <c r="K155" i="3" s="1"/>
  <c r="J156" i="3" s="1"/>
  <c r="K156" i="3" s="1"/>
  <c r="J157" i="3" s="1"/>
  <c r="K157" i="3" s="1"/>
  <c r="J158" i="3" s="1"/>
  <c r="K158" i="3" s="1"/>
  <c r="J159" i="3" s="1"/>
  <c r="K159" i="3" s="1"/>
  <c r="J160" i="3" s="1"/>
  <c r="K160" i="3" s="1"/>
  <c r="J161" i="3" s="1"/>
  <c r="K161" i="3" s="1"/>
  <c r="J162" i="3" s="1"/>
  <c r="K162" i="3" s="1"/>
  <c r="J163" i="3" s="1"/>
  <c r="K163" i="3" s="1"/>
  <c r="J164" i="3" s="1"/>
  <c r="K164" i="3" s="1"/>
  <c r="J165" i="3" s="1"/>
  <c r="K165" i="3" s="1"/>
  <c r="J166" i="3" s="1"/>
  <c r="K166" i="3" s="1"/>
  <c r="J167" i="3" s="1"/>
  <c r="K167" i="3" s="1"/>
  <c r="J168" i="3" s="1"/>
  <c r="K168" i="3" s="1"/>
  <c r="J169" i="3" s="1"/>
  <c r="K169" i="3" s="1"/>
  <c r="J170" i="3" s="1"/>
  <c r="K170" i="3" s="1"/>
  <c r="J171" i="3" s="1"/>
  <c r="K171" i="3" s="1"/>
  <c r="J172" i="3" s="1"/>
  <c r="K172" i="3" s="1"/>
  <c r="J173" i="3" s="1"/>
  <c r="K173" i="3" s="1"/>
  <c r="J174" i="3" s="1"/>
  <c r="K174" i="3" s="1"/>
  <c r="J175" i="3" s="1"/>
  <c r="K175" i="3" s="1"/>
  <c r="J176" i="3" s="1"/>
  <c r="K176" i="3" s="1"/>
  <c r="J177" i="3" s="1"/>
  <c r="K177" i="3" s="1"/>
  <c r="J178" i="3" s="1"/>
  <c r="K178" i="3" s="1"/>
  <c r="J179" i="3" s="1"/>
  <c r="K179" i="3" s="1"/>
  <c r="J180" i="3" s="1"/>
  <c r="K180" i="3" s="1"/>
  <c r="J181" i="3" s="1"/>
  <c r="K181" i="3" s="1"/>
  <c r="J182" i="3" s="1"/>
  <c r="K182" i="3" s="1"/>
  <c r="J183" i="3" s="1"/>
  <c r="K183" i="3" s="1"/>
  <c r="J184" i="3" s="1"/>
  <c r="K184" i="3" s="1"/>
  <c r="J185" i="3" s="1"/>
  <c r="K185" i="3" s="1"/>
  <c r="J186" i="3" s="1"/>
  <c r="K186" i="3" s="1"/>
  <c r="J187" i="3" s="1"/>
  <c r="K187" i="3" s="1"/>
  <c r="J188" i="3" s="1"/>
  <c r="K188" i="3" s="1"/>
  <c r="J189" i="3" s="1"/>
  <c r="K189" i="3" s="1"/>
  <c r="J190" i="3" s="1"/>
  <c r="K190" i="3" s="1"/>
  <c r="J191" i="3" s="1"/>
  <c r="K191" i="3" s="1"/>
  <c r="J192" i="3" s="1"/>
  <c r="K192" i="3" s="1"/>
  <c r="J193" i="3" s="1"/>
  <c r="K193" i="3" s="1"/>
  <c r="J194" i="3" s="1"/>
  <c r="K194" i="3" s="1"/>
  <c r="J195" i="3" s="1"/>
  <c r="K195" i="3" s="1"/>
  <c r="J196" i="3" s="1"/>
  <c r="K196" i="3" s="1"/>
  <c r="J197" i="3" s="1"/>
  <c r="K197" i="3" s="1"/>
  <c r="J198" i="3" s="1"/>
  <c r="K198" i="3" s="1"/>
  <c r="J199" i="3" s="1"/>
  <c r="K199" i="3" s="1"/>
  <c r="J200" i="3" s="1"/>
  <c r="K200" i="3" s="1"/>
  <c r="J201" i="3" s="1"/>
  <c r="K201" i="3" s="1"/>
  <c r="J202" i="3" s="1"/>
  <c r="K202" i="3" s="1"/>
  <c r="J203" i="3" s="1"/>
  <c r="K203" i="3" s="1"/>
  <c r="J204" i="3" s="1"/>
  <c r="K204" i="3" s="1"/>
  <c r="J205" i="3" s="1"/>
  <c r="K205" i="3" s="1"/>
  <c r="J206" i="3" s="1"/>
  <c r="K206" i="3" s="1"/>
  <c r="J207" i="3" s="1"/>
  <c r="K207" i="3" s="1"/>
  <c r="J208" i="3" s="1"/>
  <c r="K208" i="3" s="1"/>
  <c r="J209" i="3" s="1"/>
  <c r="K209" i="3" s="1"/>
  <c r="J210" i="3" s="1"/>
  <c r="K210" i="3" s="1"/>
  <c r="J211" i="3" s="1"/>
  <c r="K211" i="3" s="1"/>
  <c r="J212" i="3" s="1"/>
  <c r="K212" i="3" s="1"/>
  <c r="J213" i="3" s="1"/>
  <c r="K213" i="3" s="1"/>
  <c r="J214" i="3" s="1"/>
  <c r="K214" i="3" s="1"/>
  <c r="J215" i="3" s="1"/>
  <c r="K215" i="3" s="1"/>
  <c r="J216" i="3" s="1"/>
  <c r="K216" i="3" s="1"/>
  <c r="J217" i="3" s="1"/>
  <c r="K217" i="3" s="1"/>
  <c r="J218" i="3" s="1"/>
  <c r="K218" i="3" s="1"/>
  <c r="J219" i="3" s="1"/>
  <c r="K219" i="3" s="1"/>
  <c r="J220" i="3" s="1"/>
  <c r="K220" i="3" s="1"/>
  <c r="J221" i="3" s="1"/>
  <c r="K221" i="3" s="1"/>
  <c r="J222" i="3" s="1"/>
  <c r="K222" i="3" s="1"/>
  <c r="J223" i="3" s="1"/>
  <c r="K223" i="3" s="1"/>
  <c r="J224" i="3" s="1"/>
  <c r="K224" i="3" s="1"/>
  <c r="J225" i="3" s="1"/>
  <c r="K225" i="3" s="1"/>
  <c r="J226" i="3" s="1"/>
  <c r="K226" i="3" s="1"/>
  <c r="J227" i="3" s="1"/>
  <c r="K227" i="3" s="1"/>
  <c r="J228" i="3" s="1"/>
  <c r="K228" i="3" s="1"/>
  <c r="J229" i="3" s="1"/>
  <c r="K229" i="3" s="1"/>
  <c r="J230" i="3" s="1"/>
  <c r="K230" i="3" s="1"/>
  <c r="J231" i="3" s="1"/>
  <c r="K231" i="3" s="1"/>
  <c r="J232" i="3" s="1"/>
  <c r="K232" i="3" s="1"/>
  <c r="J233" i="3" s="1"/>
  <c r="K233" i="3" s="1"/>
  <c r="J234" i="3" s="1"/>
  <c r="K234" i="3" s="1"/>
  <c r="J235" i="3" s="1"/>
  <c r="K235" i="3" s="1"/>
  <c r="J236" i="3" s="1"/>
  <c r="K236" i="3" s="1"/>
  <c r="J237" i="3" s="1"/>
  <c r="K237" i="3" s="1"/>
  <c r="J238" i="3" s="1"/>
  <c r="K238" i="3" s="1"/>
  <c r="J239" i="3" s="1"/>
  <c r="K239" i="3" s="1"/>
  <c r="J240" i="3" s="1"/>
  <c r="K240" i="3" s="1"/>
  <c r="J241" i="3" s="1"/>
  <c r="K241" i="3" s="1"/>
  <c r="J242" i="3" s="1"/>
  <c r="K242" i="3" s="1"/>
  <c r="J243" i="3" s="1"/>
  <c r="K243" i="3" s="1"/>
  <c r="J5" i="3"/>
  <c r="K5" i="3" s="1"/>
  <c r="K4" i="3"/>
  <c r="N2" i="3"/>
  <c r="L2" i="3"/>
  <c r="G4" i="3"/>
  <c r="F5" i="3" s="1"/>
  <c r="G5" i="3" s="1"/>
  <c r="F6" i="3" s="1"/>
  <c r="G6" i="3" s="1"/>
  <c r="F7" i="3" s="1"/>
  <c r="G7" i="3" s="1"/>
  <c r="F8" i="3" s="1"/>
  <c r="G8" i="3" s="1"/>
  <c r="F9" i="3" s="1"/>
  <c r="G9" i="3" s="1"/>
  <c r="F10" i="3" s="1"/>
  <c r="G10" i="3" s="1"/>
  <c r="F11" i="3" s="1"/>
  <c r="G11" i="3" s="1"/>
  <c r="F12" i="3" s="1"/>
  <c r="G12" i="3" s="1"/>
  <c r="F13" i="3" s="1"/>
  <c r="G13" i="3" s="1"/>
  <c r="F14" i="3" s="1"/>
  <c r="G14" i="3" s="1"/>
  <c r="F15" i="3" s="1"/>
  <c r="G15" i="3" s="1"/>
  <c r="F16" i="3" s="1"/>
  <c r="G16" i="3" s="1"/>
  <c r="F17" i="3" s="1"/>
  <c r="G17" i="3" s="1"/>
  <c r="F18" i="3" s="1"/>
  <c r="G18" i="3" s="1"/>
  <c r="F19" i="3" s="1"/>
  <c r="G19" i="3" s="1"/>
  <c r="F20" i="3" s="1"/>
  <c r="G20" i="3" s="1"/>
  <c r="F21" i="3" s="1"/>
  <c r="G21" i="3" s="1"/>
  <c r="F22" i="3" s="1"/>
  <c r="G22" i="3" s="1"/>
  <c r="F23" i="3" s="1"/>
  <c r="G23" i="3" s="1"/>
  <c r="F24" i="3" s="1"/>
  <c r="G24" i="3" s="1"/>
  <c r="F25" i="3" s="1"/>
  <c r="G25" i="3" s="1"/>
  <c r="F26" i="3" s="1"/>
  <c r="G26" i="3" s="1"/>
  <c r="F27" i="3" s="1"/>
  <c r="G27" i="3" s="1"/>
  <c r="F28" i="3" s="1"/>
  <c r="G28" i="3" s="1"/>
  <c r="F29" i="3" s="1"/>
  <c r="G29" i="3" s="1"/>
  <c r="F30" i="3" s="1"/>
  <c r="G30" i="3" s="1"/>
  <c r="F31" i="3" s="1"/>
  <c r="G31" i="3" s="1"/>
  <c r="F32" i="3" s="1"/>
  <c r="G32" i="3" s="1"/>
  <c r="F33" i="3" s="1"/>
  <c r="G33" i="3" s="1"/>
  <c r="F34" i="3" s="1"/>
  <c r="G34" i="3" s="1"/>
  <c r="F35" i="3" s="1"/>
  <c r="G35" i="3" s="1"/>
  <c r="F36" i="3" s="1"/>
  <c r="G36" i="3" s="1"/>
  <c r="F37" i="3" s="1"/>
  <c r="G37" i="3" s="1"/>
  <c r="F38" i="3" s="1"/>
  <c r="G38" i="3" s="1"/>
  <c r="F39" i="3" s="1"/>
  <c r="G39" i="3" s="1"/>
  <c r="F40" i="3" s="1"/>
  <c r="G40" i="3" s="1"/>
  <c r="F41" i="3" s="1"/>
  <c r="G41" i="3" s="1"/>
  <c r="F42" i="3" s="1"/>
  <c r="G42" i="3" s="1"/>
  <c r="F43" i="3" s="1"/>
  <c r="G43" i="3" s="1"/>
  <c r="F44" i="3" s="1"/>
  <c r="G44" i="3" s="1"/>
  <c r="F45" i="3" s="1"/>
  <c r="G45" i="3" s="1"/>
  <c r="F46" i="3" s="1"/>
  <c r="G46" i="3" s="1"/>
  <c r="F47" i="3" s="1"/>
  <c r="G47" i="3" s="1"/>
  <c r="F48" i="3" s="1"/>
  <c r="G48" i="3" s="1"/>
  <c r="F49" i="3" s="1"/>
  <c r="G49" i="3" s="1"/>
  <c r="F50" i="3" s="1"/>
  <c r="G50" i="3" s="1"/>
  <c r="F51" i="3" s="1"/>
  <c r="G51" i="3" s="1"/>
  <c r="F52" i="3" s="1"/>
  <c r="G52" i="3" s="1"/>
  <c r="F53" i="3" s="1"/>
  <c r="G53" i="3" s="1"/>
  <c r="F54" i="3" s="1"/>
  <c r="G54" i="3" s="1"/>
  <c r="F55" i="3" s="1"/>
  <c r="G55" i="3" s="1"/>
  <c r="F56" i="3" s="1"/>
  <c r="G56" i="3" s="1"/>
  <c r="F57" i="3" s="1"/>
  <c r="G57" i="3" s="1"/>
  <c r="F58" i="3" s="1"/>
  <c r="G58" i="3" s="1"/>
  <c r="F59" i="3" s="1"/>
  <c r="G59" i="3" s="1"/>
  <c r="F60" i="3" s="1"/>
  <c r="G60" i="3" s="1"/>
  <c r="F61" i="3" s="1"/>
  <c r="G61" i="3" s="1"/>
  <c r="F62" i="3" s="1"/>
  <c r="G62" i="3" s="1"/>
  <c r="F63" i="3" s="1"/>
  <c r="G63" i="3" s="1"/>
  <c r="F64" i="3" s="1"/>
  <c r="G64" i="3" s="1"/>
  <c r="F65" i="3" s="1"/>
  <c r="G65" i="3" s="1"/>
  <c r="F66" i="3" s="1"/>
  <c r="G66" i="3" s="1"/>
  <c r="F67" i="3" s="1"/>
  <c r="G67" i="3" s="1"/>
  <c r="F68" i="3" s="1"/>
  <c r="G68" i="3" s="1"/>
  <c r="F69" i="3" s="1"/>
  <c r="G69" i="3" s="1"/>
  <c r="F70" i="3" s="1"/>
  <c r="G70" i="3" s="1"/>
  <c r="F71" i="3" s="1"/>
  <c r="G71" i="3" s="1"/>
  <c r="F72" i="3" s="1"/>
  <c r="G72" i="3" s="1"/>
  <c r="F73" i="3" s="1"/>
  <c r="G73" i="3" s="1"/>
  <c r="F74" i="3" s="1"/>
  <c r="G74" i="3" s="1"/>
  <c r="F75" i="3" s="1"/>
  <c r="G75" i="3" s="1"/>
  <c r="F76" i="3" s="1"/>
  <c r="G76" i="3" s="1"/>
  <c r="F77" i="3" s="1"/>
  <c r="G77" i="3" s="1"/>
  <c r="F78" i="3" s="1"/>
  <c r="G78" i="3" s="1"/>
  <c r="F79" i="3" s="1"/>
  <c r="G79" i="3" s="1"/>
  <c r="F80" i="3" s="1"/>
  <c r="G80" i="3" s="1"/>
  <c r="F81" i="3" s="1"/>
  <c r="G81" i="3" s="1"/>
  <c r="F82" i="3" s="1"/>
  <c r="G82" i="3" s="1"/>
  <c r="F83" i="3" s="1"/>
  <c r="G83" i="3" s="1"/>
  <c r="F84" i="3" s="1"/>
  <c r="G84" i="3" s="1"/>
  <c r="F85" i="3" s="1"/>
  <c r="G85" i="3" s="1"/>
  <c r="F86" i="3" s="1"/>
  <c r="G86" i="3" s="1"/>
  <c r="F87" i="3" s="1"/>
  <c r="G87" i="3" s="1"/>
  <c r="F88" i="3" s="1"/>
  <c r="G88" i="3" s="1"/>
  <c r="F89" i="3" s="1"/>
  <c r="G89" i="3" s="1"/>
  <c r="F90" i="3" s="1"/>
  <c r="G90" i="3" s="1"/>
  <c r="F91" i="3" s="1"/>
  <c r="G91" i="3" s="1"/>
  <c r="F92" i="3" s="1"/>
  <c r="G92" i="3" s="1"/>
  <c r="F93" i="3" s="1"/>
  <c r="G93" i="3" s="1"/>
  <c r="F94" i="3" s="1"/>
  <c r="G94" i="3" s="1"/>
  <c r="F95" i="3" s="1"/>
  <c r="G95" i="3" s="1"/>
  <c r="F96" i="3" s="1"/>
  <c r="G96" i="3" s="1"/>
  <c r="F97" i="3" s="1"/>
  <c r="G97" i="3" s="1"/>
  <c r="F98" i="3" s="1"/>
  <c r="G98" i="3" s="1"/>
  <c r="F99" i="3" s="1"/>
  <c r="G99" i="3" s="1"/>
  <c r="F100" i="3" s="1"/>
  <c r="G100" i="3" s="1"/>
  <c r="F101" i="3" s="1"/>
  <c r="G101" i="3" s="1"/>
  <c r="F102" i="3" s="1"/>
  <c r="G102" i="3" s="1"/>
  <c r="F103" i="3" s="1"/>
  <c r="G103" i="3" s="1"/>
  <c r="F104" i="3" s="1"/>
  <c r="G104" i="3" s="1"/>
  <c r="F105" i="3" s="1"/>
  <c r="G105" i="3" s="1"/>
  <c r="F106" i="3" s="1"/>
  <c r="G106" i="3" s="1"/>
  <c r="F107" i="3" s="1"/>
  <c r="G107" i="3" s="1"/>
  <c r="F108" i="3" s="1"/>
  <c r="G108" i="3" s="1"/>
  <c r="F109" i="3" s="1"/>
  <c r="G109" i="3" s="1"/>
  <c r="F110" i="3" s="1"/>
  <c r="G110" i="3" s="1"/>
  <c r="F111" i="3" s="1"/>
  <c r="G111" i="3" s="1"/>
  <c r="F112" i="3" s="1"/>
  <c r="G112" i="3" s="1"/>
  <c r="F113" i="3" s="1"/>
  <c r="G113" i="3" s="1"/>
  <c r="F114" i="3" s="1"/>
  <c r="G114" i="3" s="1"/>
  <c r="F115" i="3" s="1"/>
  <c r="G115" i="3" s="1"/>
  <c r="F116" i="3" s="1"/>
  <c r="G116" i="3" s="1"/>
  <c r="F117" i="3" s="1"/>
  <c r="G117" i="3" s="1"/>
  <c r="F118" i="3" s="1"/>
  <c r="G118" i="3" s="1"/>
  <c r="F119" i="3" s="1"/>
  <c r="G119" i="3" s="1"/>
  <c r="F120" i="3" s="1"/>
  <c r="G120" i="3" s="1"/>
  <c r="F121" i="3" s="1"/>
  <c r="G121" i="3" s="1"/>
  <c r="F122" i="3" s="1"/>
  <c r="G122" i="3" s="1"/>
  <c r="F123" i="3" s="1"/>
  <c r="G123" i="3" s="1"/>
  <c r="F124" i="3" s="1"/>
  <c r="G124" i="3" s="1"/>
  <c r="F125" i="3" s="1"/>
  <c r="G125" i="3" s="1"/>
  <c r="F126" i="3" s="1"/>
  <c r="G126" i="3" s="1"/>
  <c r="F127" i="3" s="1"/>
  <c r="G127" i="3" s="1"/>
  <c r="F128" i="3" s="1"/>
  <c r="G128" i="3" s="1"/>
  <c r="F129" i="3" s="1"/>
  <c r="G129" i="3" s="1"/>
  <c r="F130" i="3" s="1"/>
  <c r="G130" i="3" s="1"/>
  <c r="F131" i="3" s="1"/>
  <c r="G131" i="3" s="1"/>
  <c r="F132" i="3" s="1"/>
  <c r="G132" i="3" s="1"/>
  <c r="F133" i="3" s="1"/>
  <c r="G133" i="3" s="1"/>
  <c r="F134" i="3" s="1"/>
  <c r="G134" i="3" s="1"/>
  <c r="F135" i="3" s="1"/>
  <c r="G135" i="3" s="1"/>
  <c r="F136" i="3" s="1"/>
  <c r="G136" i="3" s="1"/>
  <c r="F137" i="3" s="1"/>
  <c r="G137" i="3" s="1"/>
  <c r="F138" i="3" s="1"/>
  <c r="G138" i="3" s="1"/>
  <c r="F139" i="3" s="1"/>
  <c r="G139" i="3" s="1"/>
  <c r="F140" i="3" s="1"/>
  <c r="G140" i="3" s="1"/>
  <c r="F141" i="3" s="1"/>
  <c r="G141" i="3" s="1"/>
  <c r="F142" i="3" s="1"/>
  <c r="G142" i="3" s="1"/>
  <c r="F143" i="3" s="1"/>
  <c r="G143" i="3" s="1"/>
  <c r="F144" i="3" s="1"/>
  <c r="G144" i="3" s="1"/>
  <c r="F145" i="3" s="1"/>
  <c r="G145" i="3" s="1"/>
  <c r="F146" i="3" s="1"/>
  <c r="G146" i="3" s="1"/>
  <c r="F147" i="3" s="1"/>
  <c r="G147" i="3" s="1"/>
  <c r="F148" i="3" s="1"/>
  <c r="G148" i="3" s="1"/>
  <c r="F149" i="3" s="1"/>
  <c r="G149" i="3" s="1"/>
  <c r="F150" i="3" s="1"/>
  <c r="G150" i="3" s="1"/>
  <c r="F151" i="3" s="1"/>
  <c r="G151" i="3" s="1"/>
  <c r="F152" i="3" s="1"/>
  <c r="G152" i="3" s="1"/>
  <c r="F153" i="3" s="1"/>
  <c r="G153" i="3" s="1"/>
  <c r="F154" i="3" s="1"/>
  <c r="G154" i="3" s="1"/>
  <c r="F155" i="3" s="1"/>
  <c r="G155" i="3" s="1"/>
  <c r="F156" i="3" s="1"/>
  <c r="G156" i="3" s="1"/>
  <c r="F157" i="3" s="1"/>
  <c r="G157" i="3" s="1"/>
  <c r="F158" i="3" s="1"/>
  <c r="G158" i="3" s="1"/>
  <c r="F159" i="3" s="1"/>
  <c r="G159" i="3" s="1"/>
  <c r="F160" i="3" s="1"/>
  <c r="G160" i="3" s="1"/>
  <c r="F161" i="3" s="1"/>
  <c r="G161" i="3" s="1"/>
  <c r="F162" i="3" s="1"/>
  <c r="G162" i="3" s="1"/>
  <c r="F163" i="3" s="1"/>
  <c r="G163" i="3" s="1"/>
  <c r="F164" i="3" s="1"/>
  <c r="G164" i="3" s="1"/>
  <c r="F165" i="3" s="1"/>
  <c r="G165" i="3" s="1"/>
  <c r="F166" i="3" s="1"/>
  <c r="G166" i="3" s="1"/>
  <c r="F167" i="3" s="1"/>
  <c r="G167" i="3" s="1"/>
  <c r="F168" i="3" s="1"/>
  <c r="G168" i="3" s="1"/>
  <c r="F169" i="3" s="1"/>
  <c r="G169" i="3" s="1"/>
  <c r="F170" i="3" s="1"/>
  <c r="G170" i="3" s="1"/>
  <c r="F171" i="3" s="1"/>
  <c r="G171" i="3" s="1"/>
  <c r="F172" i="3" s="1"/>
  <c r="G172" i="3" s="1"/>
  <c r="F173" i="3" s="1"/>
  <c r="G173" i="3" s="1"/>
  <c r="F174" i="3" s="1"/>
  <c r="G174" i="3" s="1"/>
  <c r="F175" i="3" s="1"/>
  <c r="G175" i="3" s="1"/>
  <c r="F176" i="3" s="1"/>
  <c r="G176" i="3" s="1"/>
  <c r="F177" i="3" s="1"/>
  <c r="G177" i="3" s="1"/>
  <c r="F178" i="3" s="1"/>
  <c r="G178" i="3" s="1"/>
  <c r="F179" i="3" s="1"/>
  <c r="G179" i="3" s="1"/>
  <c r="F180" i="3" s="1"/>
  <c r="G180" i="3" s="1"/>
  <c r="F181" i="3" s="1"/>
  <c r="G181" i="3" s="1"/>
  <c r="F182" i="3" s="1"/>
  <c r="G182" i="3" s="1"/>
  <c r="F183" i="3" s="1"/>
  <c r="G183" i="3" s="1"/>
  <c r="F184" i="3" s="1"/>
  <c r="G184" i="3" s="1"/>
  <c r="F185" i="3" s="1"/>
  <c r="G185" i="3" s="1"/>
  <c r="F186" i="3" s="1"/>
  <c r="G186" i="3" s="1"/>
  <c r="F187" i="3" s="1"/>
  <c r="G187" i="3" s="1"/>
  <c r="F188" i="3" s="1"/>
  <c r="G188" i="3" s="1"/>
  <c r="F189" i="3" s="1"/>
  <c r="G189" i="3" s="1"/>
  <c r="F190" i="3" s="1"/>
  <c r="G190" i="3" s="1"/>
  <c r="F191" i="3" s="1"/>
  <c r="G191" i="3" s="1"/>
  <c r="F192" i="3" s="1"/>
  <c r="G192" i="3" s="1"/>
  <c r="F193" i="3" s="1"/>
  <c r="G193" i="3" s="1"/>
  <c r="F194" i="3" s="1"/>
  <c r="G194" i="3" s="1"/>
  <c r="F195" i="3" s="1"/>
  <c r="G195" i="3" s="1"/>
  <c r="F196" i="3" s="1"/>
  <c r="G196" i="3" s="1"/>
  <c r="F197" i="3" s="1"/>
  <c r="G197" i="3" s="1"/>
  <c r="F198" i="3" s="1"/>
  <c r="G198" i="3" s="1"/>
  <c r="F199" i="3" s="1"/>
  <c r="G199" i="3" s="1"/>
  <c r="F200" i="3" s="1"/>
  <c r="G200" i="3" s="1"/>
  <c r="F201" i="3" s="1"/>
  <c r="G201" i="3" s="1"/>
  <c r="F202" i="3" s="1"/>
  <c r="G202" i="3" s="1"/>
  <c r="F203" i="3" s="1"/>
  <c r="G203" i="3" s="1"/>
  <c r="F204" i="3" s="1"/>
  <c r="G204" i="3" s="1"/>
  <c r="F205" i="3" s="1"/>
  <c r="G205" i="3" s="1"/>
  <c r="F206" i="3" s="1"/>
  <c r="G206" i="3" s="1"/>
  <c r="F207" i="3" s="1"/>
  <c r="G207" i="3" s="1"/>
  <c r="F208" i="3" s="1"/>
  <c r="G208" i="3" s="1"/>
  <c r="F209" i="3" s="1"/>
  <c r="G209" i="3" s="1"/>
  <c r="F210" i="3" s="1"/>
  <c r="G210" i="3" s="1"/>
  <c r="F211" i="3" s="1"/>
  <c r="G211" i="3" s="1"/>
  <c r="F212" i="3" s="1"/>
  <c r="G212" i="3" s="1"/>
  <c r="F213" i="3" s="1"/>
  <c r="G213" i="3" s="1"/>
  <c r="F214" i="3" s="1"/>
  <c r="G214" i="3" s="1"/>
  <c r="F215" i="3" s="1"/>
  <c r="G215" i="3" s="1"/>
  <c r="F216" i="3" s="1"/>
  <c r="G216" i="3" s="1"/>
  <c r="F217" i="3" s="1"/>
  <c r="G217" i="3" s="1"/>
  <c r="F218" i="3" s="1"/>
  <c r="G218" i="3" s="1"/>
  <c r="F219" i="3" s="1"/>
  <c r="G219" i="3" s="1"/>
  <c r="F220" i="3" s="1"/>
  <c r="G220" i="3" s="1"/>
  <c r="F221" i="3" s="1"/>
  <c r="G221" i="3" s="1"/>
  <c r="F222" i="3" s="1"/>
  <c r="G222" i="3" s="1"/>
  <c r="F223" i="3" s="1"/>
  <c r="G223" i="3" s="1"/>
  <c r="F224" i="3" s="1"/>
  <c r="G224" i="3" s="1"/>
  <c r="F225" i="3" s="1"/>
  <c r="G225" i="3" s="1"/>
  <c r="F226" i="3" s="1"/>
  <c r="G226" i="3" s="1"/>
  <c r="F227" i="3" s="1"/>
  <c r="G227" i="3" s="1"/>
  <c r="F228" i="3" s="1"/>
  <c r="G228" i="3" s="1"/>
  <c r="F229" i="3" s="1"/>
  <c r="G229" i="3" s="1"/>
  <c r="F230" i="3" s="1"/>
  <c r="G230" i="3" s="1"/>
  <c r="F231" i="3" s="1"/>
  <c r="G231" i="3" s="1"/>
  <c r="F232" i="3" s="1"/>
  <c r="G232" i="3" s="1"/>
  <c r="F233" i="3" s="1"/>
  <c r="G233" i="3" s="1"/>
  <c r="F234" i="3" s="1"/>
  <c r="G234" i="3" s="1"/>
  <c r="F235" i="3" s="1"/>
  <c r="G235" i="3" s="1"/>
  <c r="F236" i="3" s="1"/>
  <c r="G236" i="3" s="1"/>
  <c r="F237" i="3" s="1"/>
  <c r="G237" i="3" s="1"/>
  <c r="F238" i="3" s="1"/>
  <c r="G238" i="3" s="1"/>
  <c r="F239" i="3" s="1"/>
  <c r="G239" i="3" s="1"/>
  <c r="F240" i="3" s="1"/>
  <c r="G240" i="3" s="1"/>
  <c r="F241" i="3" s="1"/>
  <c r="G241" i="3" s="1"/>
  <c r="F242" i="3" s="1"/>
  <c r="G242" i="3" s="1"/>
  <c r="F243" i="3" s="1"/>
  <c r="G243" i="3" s="1"/>
  <c r="H4" i="3" s="1"/>
  <c r="I4" i="3" s="1"/>
  <c r="H5" i="3" s="1"/>
  <c r="I5" i="3" s="1"/>
  <c r="H6" i="3" s="1"/>
  <c r="I6" i="3" s="1"/>
  <c r="H7" i="3" s="1"/>
  <c r="I7" i="3" s="1"/>
  <c r="H8" i="3" s="1"/>
  <c r="I8" i="3" s="1"/>
  <c r="H9" i="3" s="1"/>
  <c r="I9" i="3" s="1"/>
  <c r="H10" i="3" s="1"/>
  <c r="I10" i="3" s="1"/>
  <c r="H11" i="3" s="1"/>
  <c r="I11" i="3" s="1"/>
  <c r="H12" i="3" s="1"/>
  <c r="I12" i="3" s="1"/>
  <c r="H13" i="3" s="1"/>
  <c r="I13" i="3" s="1"/>
  <c r="H14" i="3" s="1"/>
  <c r="I14" i="3" s="1"/>
  <c r="H15" i="3" s="1"/>
  <c r="I15" i="3" s="1"/>
  <c r="H16" i="3" s="1"/>
  <c r="I16" i="3" s="1"/>
  <c r="H17" i="3" s="1"/>
  <c r="I17" i="3" s="1"/>
  <c r="H18" i="3" s="1"/>
  <c r="I18" i="3" s="1"/>
  <c r="H19" i="3" s="1"/>
  <c r="I19" i="3" s="1"/>
  <c r="H20" i="3" s="1"/>
  <c r="I20" i="3" s="1"/>
  <c r="H21" i="3" s="1"/>
  <c r="I21" i="3" s="1"/>
  <c r="H22" i="3" s="1"/>
  <c r="I22" i="3" s="1"/>
  <c r="H23" i="3" s="1"/>
  <c r="I23" i="3" s="1"/>
  <c r="H24" i="3" s="1"/>
  <c r="I24" i="3" s="1"/>
  <c r="H25" i="3" s="1"/>
  <c r="I25" i="3" s="1"/>
  <c r="H26" i="3" s="1"/>
  <c r="I26" i="3" s="1"/>
  <c r="H27" i="3" s="1"/>
  <c r="I27" i="3" s="1"/>
  <c r="H28" i="3" s="1"/>
  <c r="I28" i="3" s="1"/>
  <c r="H29" i="3" s="1"/>
  <c r="I29" i="3" s="1"/>
  <c r="H30" i="3" s="1"/>
  <c r="I30" i="3" s="1"/>
  <c r="H31" i="3" s="1"/>
  <c r="I31" i="3" s="1"/>
  <c r="H32" i="3" s="1"/>
  <c r="I32" i="3" s="1"/>
  <c r="H33" i="3" s="1"/>
  <c r="I33" i="3" s="1"/>
  <c r="H34" i="3" s="1"/>
  <c r="I34" i="3" s="1"/>
  <c r="H35" i="3" s="1"/>
  <c r="I35" i="3" s="1"/>
  <c r="H36" i="3" s="1"/>
  <c r="I36" i="3" s="1"/>
  <c r="H37" i="3" s="1"/>
  <c r="I37" i="3" s="1"/>
  <c r="H38" i="3" s="1"/>
  <c r="I38" i="3" s="1"/>
  <c r="H39" i="3" s="1"/>
  <c r="I39" i="3" s="1"/>
  <c r="H40" i="3" s="1"/>
  <c r="I40" i="3" s="1"/>
  <c r="H41" i="3" s="1"/>
  <c r="I41" i="3" s="1"/>
  <c r="H42" i="3" s="1"/>
  <c r="I42" i="3" s="1"/>
  <c r="H43" i="3" s="1"/>
  <c r="I43" i="3" s="1"/>
  <c r="H44" i="3" s="1"/>
  <c r="I44" i="3" s="1"/>
  <c r="H45" i="3" s="1"/>
  <c r="I45" i="3" s="1"/>
  <c r="H46" i="3" s="1"/>
  <c r="I46" i="3" s="1"/>
  <c r="H47" i="3" s="1"/>
  <c r="I47" i="3" s="1"/>
  <c r="H48" i="3" s="1"/>
  <c r="I48" i="3" s="1"/>
  <c r="H49" i="3" s="1"/>
  <c r="I49" i="3" s="1"/>
  <c r="H50" i="3" s="1"/>
  <c r="I50" i="3" s="1"/>
  <c r="H51" i="3" s="1"/>
  <c r="I51" i="3" s="1"/>
  <c r="H52" i="3" s="1"/>
  <c r="I52" i="3" s="1"/>
  <c r="H53" i="3" s="1"/>
  <c r="I53" i="3" s="1"/>
  <c r="H54" i="3" s="1"/>
  <c r="I54" i="3" s="1"/>
  <c r="H55" i="3" s="1"/>
  <c r="I55" i="3" s="1"/>
  <c r="H56" i="3" s="1"/>
  <c r="I56" i="3" s="1"/>
  <c r="H57" i="3" s="1"/>
  <c r="I57" i="3" s="1"/>
  <c r="H58" i="3" s="1"/>
  <c r="I58" i="3" s="1"/>
  <c r="H59" i="3" s="1"/>
  <c r="I59" i="3" s="1"/>
  <c r="H60" i="3" s="1"/>
  <c r="I60" i="3" s="1"/>
  <c r="H61" i="3" s="1"/>
  <c r="I61" i="3" s="1"/>
  <c r="H62" i="3" s="1"/>
  <c r="I62" i="3" s="1"/>
  <c r="H63" i="3" s="1"/>
  <c r="I63" i="3" s="1"/>
  <c r="H64" i="3" s="1"/>
  <c r="I64" i="3" s="1"/>
  <c r="H65" i="3" s="1"/>
  <c r="I65" i="3" s="1"/>
  <c r="H66" i="3" s="1"/>
  <c r="I66" i="3" s="1"/>
  <c r="H67" i="3" s="1"/>
  <c r="I67" i="3" s="1"/>
  <c r="H68" i="3" s="1"/>
  <c r="I68" i="3" s="1"/>
  <c r="H69" i="3" s="1"/>
  <c r="I69" i="3" s="1"/>
  <c r="H70" i="3" s="1"/>
  <c r="I70" i="3" s="1"/>
  <c r="H71" i="3" s="1"/>
  <c r="I71" i="3" s="1"/>
  <c r="H72" i="3" s="1"/>
  <c r="I72" i="3" s="1"/>
  <c r="H73" i="3" s="1"/>
  <c r="I73" i="3" s="1"/>
  <c r="H74" i="3" s="1"/>
  <c r="I74" i="3" s="1"/>
  <c r="H75" i="3" s="1"/>
  <c r="I75" i="3" s="1"/>
  <c r="H76" i="3" s="1"/>
  <c r="I76" i="3" s="1"/>
  <c r="H77" i="3" s="1"/>
  <c r="I77" i="3" s="1"/>
  <c r="H78" i="3" s="1"/>
  <c r="I78" i="3" s="1"/>
  <c r="H79" i="3" s="1"/>
  <c r="I79" i="3" s="1"/>
  <c r="H80" i="3" s="1"/>
  <c r="I80" i="3" s="1"/>
  <c r="H81" i="3" s="1"/>
  <c r="I81" i="3" s="1"/>
  <c r="H82" i="3" s="1"/>
  <c r="I82" i="3" s="1"/>
  <c r="H83" i="3" s="1"/>
  <c r="I83" i="3" s="1"/>
  <c r="H84" i="3" s="1"/>
  <c r="I84" i="3" s="1"/>
  <c r="H85" i="3" s="1"/>
  <c r="I85" i="3" s="1"/>
  <c r="H86" i="3" s="1"/>
  <c r="I86" i="3" s="1"/>
  <c r="H87" i="3" s="1"/>
  <c r="I87" i="3" s="1"/>
  <c r="H88" i="3" s="1"/>
  <c r="I88" i="3" s="1"/>
  <c r="H89" i="3" s="1"/>
  <c r="I89" i="3" s="1"/>
  <c r="H90" i="3" s="1"/>
  <c r="I90" i="3" s="1"/>
  <c r="H91" i="3" s="1"/>
  <c r="I91" i="3" s="1"/>
  <c r="H92" i="3" s="1"/>
  <c r="I92" i="3" s="1"/>
  <c r="H93" i="3" s="1"/>
  <c r="I93" i="3" s="1"/>
  <c r="H94" i="3" s="1"/>
  <c r="I94" i="3" s="1"/>
  <c r="H95" i="3" s="1"/>
  <c r="I95" i="3" s="1"/>
  <c r="H96" i="3" s="1"/>
  <c r="I96" i="3" s="1"/>
  <c r="H97" i="3" s="1"/>
  <c r="I97" i="3" s="1"/>
  <c r="H98" i="3" s="1"/>
  <c r="I98" i="3" s="1"/>
  <c r="H99" i="3" s="1"/>
  <c r="I99" i="3" s="1"/>
  <c r="H100" i="3" s="1"/>
  <c r="I100" i="3" s="1"/>
  <c r="H101" i="3" s="1"/>
  <c r="I101" i="3" s="1"/>
  <c r="H102" i="3" s="1"/>
  <c r="I102" i="3" s="1"/>
  <c r="H103" i="3" s="1"/>
  <c r="I103" i="3" s="1"/>
  <c r="H104" i="3" s="1"/>
  <c r="I104" i="3" s="1"/>
  <c r="H105" i="3" s="1"/>
  <c r="I105" i="3" s="1"/>
  <c r="H106" i="3" s="1"/>
  <c r="I106" i="3" s="1"/>
  <c r="H107" i="3" s="1"/>
  <c r="I107" i="3" s="1"/>
  <c r="H108" i="3" s="1"/>
  <c r="I108" i="3" s="1"/>
  <c r="H109" i="3" s="1"/>
  <c r="I109" i="3" s="1"/>
  <c r="H110" i="3" s="1"/>
  <c r="I110" i="3" s="1"/>
  <c r="H111" i="3" s="1"/>
  <c r="I111" i="3" s="1"/>
  <c r="H112" i="3" s="1"/>
  <c r="I112" i="3" s="1"/>
  <c r="H113" i="3" s="1"/>
  <c r="I113" i="3" s="1"/>
  <c r="H114" i="3" s="1"/>
  <c r="I114" i="3" s="1"/>
  <c r="H115" i="3" s="1"/>
  <c r="I115" i="3" s="1"/>
  <c r="H116" i="3" s="1"/>
  <c r="I116" i="3" s="1"/>
  <c r="H117" i="3" s="1"/>
  <c r="I117" i="3" s="1"/>
  <c r="H118" i="3" s="1"/>
  <c r="I118" i="3" s="1"/>
  <c r="H119" i="3" s="1"/>
  <c r="I119" i="3" s="1"/>
  <c r="H120" i="3" s="1"/>
  <c r="I120" i="3" s="1"/>
  <c r="H121" i="3" s="1"/>
  <c r="I121" i="3" s="1"/>
  <c r="H122" i="3" s="1"/>
  <c r="I122" i="3" s="1"/>
  <c r="H123" i="3" s="1"/>
  <c r="I123" i="3" s="1"/>
  <c r="H124" i="3" s="1"/>
  <c r="I124" i="3" s="1"/>
  <c r="H125" i="3" s="1"/>
  <c r="I125" i="3" s="1"/>
  <c r="H126" i="3" s="1"/>
  <c r="I126" i="3" s="1"/>
  <c r="H127" i="3" s="1"/>
  <c r="I127" i="3" s="1"/>
  <c r="H128" i="3" s="1"/>
  <c r="I128" i="3" s="1"/>
  <c r="H129" i="3" s="1"/>
  <c r="I129" i="3" s="1"/>
  <c r="H130" i="3" s="1"/>
  <c r="I130" i="3" s="1"/>
  <c r="H131" i="3" s="1"/>
  <c r="I131" i="3" s="1"/>
  <c r="H132" i="3" s="1"/>
  <c r="I132" i="3" s="1"/>
  <c r="H133" i="3" s="1"/>
  <c r="I133" i="3" s="1"/>
  <c r="H134" i="3" s="1"/>
  <c r="I134" i="3" s="1"/>
  <c r="H135" i="3" s="1"/>
  <c r="I135" i="3" s="1"/>
  <c r="H136" i="3" s="1"/>
  <c r="I136" i="3" s="1"/>
  <c r="H137" i="3" s="1"/>
  <c r="I137" i="3" s="1"/>
  <c r="H138" i="3" s="1"/>
  <c r="I138" i="3" s="1"/>
  <c r="H139" i="3" s="1"/>
  <c r="I139" i="3" s="1"/>
  <c r="H140" i="3" s="1"/>
  <c r="I140" i="3" s="1"/>
  <c r="H141" i="3" s="1"/>
  <c r="I141" i="3" s="1"/>
  <c r="H142" i="3" s="1"/>
  <c r="I142" i="3" s="1"/>
  <c r="H143" i="3" s="1"/>
  <c r="I143" i="3" s="1"/>
  <c r="H144" i="3" s="1"/>
  <c r="I144" i="3" s="1"/>
  <c r="H145" i="3" s="1"/>
  <c r="I145" i="3" s="1"/>
  <c r="H146" i="3" s="1"/>
  <c r="I146" i="3" s="1"/>
  <c r="H147" i="3" s="1"/>
  <c r="I147" i="3" s="1"/>
  <c r="H148" i="3" s="1"/>
  <c r="I148" i="3" s="1"/>
  <c r="H149" i="3" s="1"/>
  <c r="I149" i="3" s="1"/>
  <c r="H150" i="3" s="1"/>
  <c r="I150" i="3" s="1"/>
  <c r="H151" i="3" s="1"/>
  <c r="I151" i="3" s="1"/>
  <c r="H152" i="3" s="1"/>
  <c r="I152" i="3" s="1"/>
  <c r="H153" i="3" s="1"/>
  <c r="I153" i="3" s="1"/>
  <c r="H154" i="3" s="1"/>
  <c r="I154" i="3" s="1"/>
  <c r="H155" i="3" s="1"/>
  <c r="I155" i="3" s="1"/>
  <c r="H156" i="3" s="1"/>
  <c r="I156" i="3" s="1"/>
  <c r="H157" i="3" s="1"/>
  <c r="I157" i="3" s="1"/>
  <c r="H158" i="3" s="1"/>
  <c r="I158" i="3" s="1"/>
  <c r="H159" i="3" s="1"/>
  <c r="I159" i="3" s="1"/>
  <c r="H160" i="3" s="1"/>
  <c r="I160" i="3" s="1"/>
  <c r="H161" i="3" s="1"/>
  <c r="I161" i="3" s="1"/>
  <c r="H162" i="3" s="1"/>
  <c r="I162" i="3" s="1"/>
  <c r="H163" i="3" s="1"/>
  <c r="I163" i="3" s="1"/>
  <c r="H164" i="3" s="1"/>
  <c r="I164" i="3" s="1"/>
  <c r="H165" i="3" s="1"/>
  <c r="I165" i="3" s="1"/>
  <c r="H166" i="3" s="1"/>
  <c r="I166" i="3" s="1"/>
  <c r="H167" i="3" s="1"/>
  <c r="I167" i="3" s="1"/>
  <c r="H168" i="3" s="1"/>
  <c r="I168" i="3" s="1"/>
  <c r="H169" i="3" s="1"/>
  <c r="I169" i="3" s="1"/>
  <c r="H170" i="3" s="1"/>
  <c r="I170" i="3" s="1"/>
  <c r="H171" i="3" s="1"/>
  <c r="I171" i="3" s="1"/>
  <c r="H172" i="3" s="1"/>
  <c r="I172" i="3" s="1"/>
  <c r="H173" i="3" s="1"/>
  <c r="I173" i="3" s="1"/>
  <c r="H174" i="3" s="1"/>
  <c r="I174" i="3" s="1"/>
  <c r="H175" i="3" s="1"/>
  <c r="I175" i="3" s="1"/>
  <c r="H176" i="3" s="1"/>
  <c r="I176" i="3" s="1"/>
  <c r="H177" i="3" s="1"/>
  <c r="I177" i="3" s="1"/>
  <c r="H178" i="3" s="1"/>
  <c r="I178" i="3" s="1"/>
  <c r="H179" i="3" s="1"/>
  <c r="I179" i="3" s="1"/>
  <c r="H180" i="3" s="1"/>
  <c r="I180" i="3" s="1"/>
  <c r="H181" i="3" s="1"/>
  <c r="I181" i="3" s="1"/>
  <c r="H182" i="3" s="1"/>
  <c r="I182" i="3" s="1"/>
  <c r="H183" i="3" s="1"/>
  <c r="I183" i="3" s="1"/>
  <c r="H184" i="3" s="1"/>
  <c r="I184" i="3" s="1"/>
  <c r="H185" i="3" s="1"/>
  <c r="I185" i="3" s="1"/>
  <c r="H186" i="3" s="1"/>
  <c r="I186" i="3" s="1"/>
  <c r="H187" i="3" s="1"/>
  <c r="I187" i="3" s="1"/>
  <c r="H188" i="3" s="1"/>
  <c r="I188" i="3" s="1"/>
  <c r="H189" i="3" s="1"/>
  <c r="I189" i="3" s="1"/>
  <c r="H190" i="3" s="1"/>
  <c r="I190" i="3" s="1"/>
  <c r="H191" i="3" s="1"/>
  <c r="I191" i="3" s="1"/>
  <c r="H192" i="3" s="1"/>
  <c r="I192" i="3" s="1"/>
  <c r="H193" i="3" s="1"/>
  <c r="I193" i="3" s="1"/>
  <c r="H194" i="3" s="1"/>
  <c r="I194" i="3" s="1"/>
  <c r="H195" i="3" s="1"/>
  <c r="I195" i="3" s="1"/>
  <c r="H196" i="3" s="1"/>
  <c r="I196" i="3" s="1"/>
  <c r="H197" i="3" s="1"/>
  <c r="I197" i="3" s="1"/>
  <c r="H198" i="3" s="1"/>
  <c r="I198" i="3" s="1"/>
  <c r="H199" i="3" s="1"/>
  <c r="I199" i="3" s="1"/>
  <c r="H200" i="3" s="1"/>
  <c r="I200" i="3" s="1"/>
  <c r="H201" i="3" s="1"/>
  <c r="I201" i="3" s="1"/>
  <c r="H202" i="3" s="1"/>
  <c r="I202" i="3" s="1"/>
  <c r="H203" i="3" s="1"/>
  <c r="I203" i="3" s="1"/>
  <c r="H204" i="3" s="1"/>
  <c r="I204" i="3" s="1"/>
  <c r="H205" i="3" s="1"/>
  <c r="I205" i="3" s="1"/>
  <c r="H206" i="3" s="1"/>
  <c r="I206" i="3" s="1"/>
  <c r="H207" i="3" s="1"/>
  <c r="I207" i="3" s="1"/>
  <c r="H208" i="3" s="1"/>
  <c r="I208" i="3" s="1"/>
  <c r="H209" i="3" s="1"/>
  <c r="I209" i="3" s="1"/>
  <c r="H210" i="3" s="1"/>
  <c r="I210" i="3" s="1"/>
  <c r="H211" i="3" s="1"/>
  <c r="I211" i="3" s="1"/>
  <c r="H212" i="3" s="1"/>
  <c r="I212" i="3" s="1"/>
  <c r="H213" i="3" s="1"/>
  <c r="I213" i="3" s="1"/>
  <c r="H214" i="3" s="1"/>
  <c r="I214" i="3" s="1"/>
  <c r="H215" i="3" s="1"/>
  <c r="I215" i="3" s="1"/>
  <c r="H216" i="3" s="1"/>
  <c r="I216" i="3" s="1"/>
  <c r="H217" i="3" s="1"/>
  <c r="I217" i="3" s="1"/>
  <c r="H218" i="3" s="1"/>
  <c r="I218" i="3" s="1"/>
  <c r="H219" i="3" s="1"/>
  <c r="I219" i="3" s="1"/>
  <c r="H220" i="3" s="1"/>
  <c r="I220" i="3" s="1"/>
  <c r="H221" i="3" s="1"/>
  <c r="I221" i="3" s="1"/>
  <c r="H222" i="3" s="1"/>
  <c r="I222" i="3" s="1"/>
  <c r="H223" i="3" s="1"/>
  <c r="I223" i="3" s="1"/>
  <c r="H224" i="3" s="1"/>
  <c r="I224" i="3" s="1"/>
  <c r="H225" i="3" s="1"/>
  <c r="I225" i="3" s="1"/>
  <c r="H226" i="3" s="1"/>
  <c r="I226" i="3" s="1"/>
  <c r="H227" i="3" s="1"/>
  <c r="I227" i="3" s="1"/>
  <c r="H228" i="3" s="1"/>
  <c r="I228" i="3" s="1"/>
  <c r="H229" i="3" s="1"/>
  <c r="I229" i="3" s="1"/>
  <c r="H230" i="3" s="1"/>
  <c r="I230" i="3" s="1"/>
  <c r="H231" i="3" s="1"/>
  <c r="I231" i="3" s="1"/>
  <c r="H232" i="3" s="1"/>
  <c r="I232" i="3" s="1"/>
  <c r="H233" i="3" s="1"/>
  <c r="I233" i="3" s="1"/>
  <c r="H234" i="3" s="1"/>
  <c r="I234" i="3" s="1"/>
  <c r="H235" i="3" s="1"/>
  <c r="I235" i="3" s="1"/>
  <c r="H236" i="3" s="1"/>
  <c r="I236" i="3" s="1"/>
  <c r="H237" i="3" s="1"/>
  <c r="I237" i="3" s="1"/>
  <c r="H238" i="3" s="1"/>
  <c r="I238" i="3" s="1"/>
  <c r="H239" i="3" s="1"/>
  <c r="I239" i="3" s="1"/>
  <c r="H240" i="3" s="1"/>
  <c r="I240" i="3" s="1"/>
  <c r="H241" i="3" s="1"/>
  <c r="I241" i="3" s="1"/>
  <c r="H242" i="3" s="1"/>
  <c r="I242" i="3" s="1"/>
  <c r="H243" i="3" s="1"/>
  <c r="I243" i="3" s="1"/>
  <c r="L4" i="3" s="1"/>
  <c r="M4" i="3" s="1"/>
  <c r="L5" i="3" s="1"/>
  <c r="M5" i="3" s="1"/>
  <c r="L6" i="3" s="1"/>
  <c r="M6" i="3" l="1"/>
  <c r="L7" i="3" s="1"/>
  <c r="M7" i="3" l="1"/>
  <c r="L8" i="3" s="1"/>
  <c r="M8" i="3" l="1"/>
  <c r="L9" i="3" s="1"/>
  <c r="M9" i="3" l="1"/>
  <c r="L10" i="3" s="1"/>
  <c r="M10" i="3" l="1"/>
  <c r="L11" i="3" s="1"/>
  <c r="M11" i="3" l="1"/>
  <c r="L12" i="3" s="1"/>
  <c r="M12" i="3" l="1"/>
  <c r="L13" i="3" s="1"/>
  <c r="M13" i="3" l="1"/>
  <c r="L14" i="3" s="1"/>
  <c r="M14" i="3" l="1"/>
  <c r="L15" i="3" s="1"/>
  <c r="M15" i="3" l="1"/>
  <c r="L16" i="3" s="1"/>
  <c r="M16" i="3" l="1"/>
  <c r="L17" i="3" s="1"/>
  <c r="M17" i="3" l="1"/>
  <c r="L18" i="3" s="1"/>
  <c r="M18" i="3" l="1"/>
  <c r="L19" i="3" s="1"/>
  <c r="M19" i="3" l="1"/>
  <c r="L20" i="3" s="1"/>
  <c r="M20" i="3" l="1"/>
  <c r="L21" i="3" s="1"/>
  <c r="M21" i="3" l="1"/>
  <c r="L22" i="3" s="1"/>
  <c r="M22" i="3" l="1"/>
  <c r="L23" i="3" s="1"/>
  <c r="M23" i="3" l="1"/>
  <c r="L24" i="3" s="1"/>
  <c r="M24" i="3" l="1"/>
  <c r="L25" i="3" s="1"/>
  <c r="M25" i="3" l="1"/>
  <c r="L26" i="3" s="1"/>
  <c r="M26" i="3" l="1"/>
  <c r="L27" i="3" s="1"/>
  <c r="M27" i="3" l="1"/>
  <c r="L28" i="3" s="1"/>
  <c r="M28" i="3" l="1"/>
  <c r="L29" i="3" s="1"/>
  <c r="M29" i="3" l="1"/>
  <c r="L30" i="3" s="1"/>
  <c r="M30" i="3" l="1"/>
  <c r="L31" i="3" s="1"/>
  <c r="M31" i="3" l="1"/>
  <c r="L32" i="3" s="1"/>
  <c r="M32" i="3" l="1"/>
  <c r="L33" i="3" s="1"/>
  <c r="M33" i="3" l="1"/>
  <c r="L34" i="3" s="1"/>
  <c r="M34" i="3" l="1"/>
  <c r="L35" i="3" s="1"/>
  <c r="M35" i="3" l="1"/>
  <c r="L36" i="3" s="1"/>
  <c r="M36" i="3" l="1"/>
  <c r="L37" i="3" s="1"/>
  <c r="M37" i="3" l="1"/>
  <c r="L38" i="3" s="1"/>
  <c r="M38" i="3" l="1"/>
  <c r="L39" i="3" s="1"/>
  <c r="M39" i="3" l="1"/>
  <c r="L40" i="3" s="1"/>
  <c r="M40" i="3" l="1"/>
  <c r="L41" i="3" s="1"/>
  <c r="M41" i="3" l="1"/>
  <c r="L42" i="3" s="1"/>
  <c r="M42" i="3" l="1"/>
  <c r="L43" i="3" s="1"/>
  <c r="M43" i="3" l="1"/>
  <c r="L44" i="3" s="1"/>
  <c r="M44" i="3" l="1"/>
  <c r="L45" i="3" s="1"/>
  <c r="M45" i="3" l="1"/>
  <c r="L46" i="3" s="1"/>
  <c r="M46" i="3" l="1"/>
  <c r="L47" i="3" s="1"/>
  <c r="M47" i="3" l="1"/>
  <c r="L48" i="3" s="1"/>
  <c r="M48" i="3" l="1"/>
  <c r="L49" i="3" s="1"/>
  <c r="M49" i="3" l="1"/>
  <c r="L50" i="3" s="1"/>
  <c r="M50" i="3" l="1"/>
  <c r="L51" i="3" s="1"/>
  <c r="M51" i="3" l="1"/>
  <c r="L52" i="3" s="1"/>
  <c r="M52" i="3" l="1"/>
  <c r="L53" i="3" s="1"/>
  <c r="M53" i="3" l="1"/>
  <c r="L54" i="3" s="1"/>
  <c r="M54" i="3" l="1"/>
  <c r="L55" i="3" s="1"/>
  <c r="M55" i="3" l="1"/>
  <c r="L56" i="3" s="1"/>
  <c r="M56" i="3" l="1"/>
  <c r="L57" i="3" s="1"/>
  <c r="M57" i="3" l="1"/>
  <c r="L58" i="3" s="1"/>
  <c r="M58" i="3" l="1"/>
  <c r="L59" i="3" s="1"/>
  <c r="M59" i="3" l="1"/>
  <c r="L60" i="3" s="1"/>
  <c r="M60" i="3" l="1"/>
  <c r="L61" i="3" s="1"/>
  <c r="M61" i="3" l="1"/>
  <c r="L62" i="3" s="1"/>
  <c r="M62" i="3" l="1"/>
  <c r="L63" i="3" s="1"/>
  <c r="M63" i="3" l="1"/>
  <c r="L64" i="3" s="1"/>
  <c r="M64" i="3" l="1"/>
  <c r="L65" i="3" s="1"/>
  <c r="M65" i="3" l="1"/>
  <c r="L66" i="3" s="1"/>
  <c r="M66" i="3" l="1"/>
  <c r="L67" i="3" s="1"/>
  <c r="M67" i="3" l="1"/>
  <c r="L68" i="3" s="1"/>
  <c r="M68" i="3" l="1"/>
  <c r="L69" i="3" s="1"/>
  <c r="M69" i="3" l="1"/>
  <c r="L70" i="3" s="1"/>
  <c r="M70" i="3" l="1"/>
  <c r="L71" i="3" s="1"/>
  <c r="M71" i="3" l="1"/>
  <c r="L72" i="3" s="1"/>
  <c r="M72" i="3" l="1"/>
  <c r="L73" i="3" s="1"/>
  <c r="M73" i="3" l="1"/>
  <c r="L74" i="3" s="1"/>
  <c r="M74" i="3" l="1"/>
  <c r="L75" i="3" s="1"/>
  <c r="M75" i="3" l="1"/>
  <c r="L76" i="3" s="1"/>
  <c r="M76" i="3" l="1"/>
  <c r="L77" i="3" s="1"/>
  <c r="M77" i="3" l="1"/>
  <c r="L78" i="3" s="1"/>
  <c r="M78" i="3" l="1"/>
  <c r="L79" i="3" s="1"/>
  <c r="M79" i="3" l="1"/>
  <c r="L80" i="3" s="1"/>
  <c r="M80" i="3" l="1"/>
  <c r="L81" i="3" s="1"/>
  <c r="M81" i="3" l="1"/>
  <c r="L82" i="3" s="1"/>
  <c r="M82" i="3" l="1"/>
  <c r="L83" i="3" s="1"/>
  <c r="M83" i="3" l="1"/>
  <c r="L84" i="3" s="1"/>
  <c r="M84" i="3" l="1"/>
  <c r="L85" i="3" s="1"/>
  <c r="M85" i="3" l="1"/>
  <c r="L86" i="3" s="1"/>
  <c r="M86" i="3" l="1"/>
  <c r="L87" i="3" s="1"/>
  <c r="M87" i="3" l="1"/>
  <c r="L88" i="3" s="1"/>
  <c r="M88" i="3" l="1"/>
  <c r="L89" i="3" s="1"/>
  <c r="M89" i="3" l="1"/>
  <c r="L90" i="3" s="1"/>
  <c r="M90" i="3" l="1"/>
  <c r="L91" i="3" s="1"/>
  <c r="M91" i="3" l="1"/>
  <c r="L92" i="3" s="1"/>
  <c r="M92" i="3" l="1"/>
  <c r="L93" i="3" s="1"/>
  <c r="M93" i="3" l="1"/>
  <c r="L94" i="3" s="1"/>
  <c r="M94" i="3" l="1"/>
  <c r="L95" i="3" s="1"/>
  <c r="M95" i="3" l="1"/>
  <c r="L96" i="3" s="1"/>
  <c r="M96" i="3" l="1"/>
  <c r="L97" i="3" s="1"/>
  <c r="M97" i="3" l="1"/>
  <c r="L98" i="3" s="1"/>
  <c r="M98" i="3" l="1"/>
  <c r="L99" i="3" s="1"/>
  <c r="M99" i="3" l="1"/>
  <c r="L100" i="3" s="1"/>
  <c r="M100" i="3" l="1"/>
  <c r="L101" i="3" s="1"/>
  <c r="M101" i="3" l="1"/>
  <c r="L102" i="3" s="1"/>
  <c r="M102" i="3" l="1"/>
  <c r="L103" i="3" s="1"/>
  <c r="M103" i="3" l="1"/>
  <c r="L104" i="3" s="1"/>
  <c r="M104" i="3" l="1"/>
  <c r="L105" i="3" s="1"/>
  <c r="M105" i="3" l="1"/>
  <c r="L106" i="3" s="1"/>
  <c r="M106" i="3" l="1"/>
  <c r="L107" i="3" s="1"/>
  <c r="M107" i="3" l="1"/>
  <c r="L108" i="3" s="1"/>
  <c r="M108" i="3" l="1"/>
  <c r="L109" i="3" s="1"/>
  <c r="M109" i="3" l="1"/>
  <c r="L110" i="3" s="1"/>
  <c r="M110" i="3" l="1"/>
  <c r="L111" i="3" s="1"/>
  <c r="M111" i="3" l="1"/>
  <c r="L112" i="3" s="1"/>
  <c r="M112" i="3" l="1"/>
  <c r="L113" i="3" s="1"/>
  <c r="M113" i="3" l="1"/>
  <c r="L114" i="3" s="1"/>
  <c r="M114" i="3" l="1"/>
  <c r="L115" i="3" s="1"/>
  <c r="M115" i="3" l="1"/>
  <c r="L116" i="3" s="1"/>
  <c r="M116" i="3" l="1"/>
  <c r="L117" i="3" s="1"/>
  <c r="M117" i="3" l="1"/>
  <c r="L118" i="3" s="1"/>
  <c r="M118" i="3" l="1"/>
  <c r="L119" i="3" s="1"/>
  <c r="M119" i="3" l="1"/>
  <c r="L120" i="3" s="1"/>
  <c r="M120" i="3" l="1"/>
  <c r="L121" i="3" s="1"/>
  <c r="M121" i="3" l="1"/>
  <c r="L122" i="3" s="1"/>
  <c r="M122" i="3" l="1"/>
  <c r="L123" i="3" s="1"/>
  <c r="M123" i="3" l="1"/>
  <c r="L124" i="3" s="1"/>
  <c r="M124" i="3" l="1"/>
  <c r="L125" i="3" s="1"/>
  <c r="M125" i="3" l="1"/>
  <c r="L126" i="3" s="1"/>
  <c r="M126" i="3" l="1"/>
  <c r="L127" i="3" s="1"/>
  <c r="M127" i="3" l="1"/>
  <c r="L128" i="3" s="1"/>
  <c r="M128" i="3" l="1"/>
  <c r="L129" i="3" s="1"/>
  <c r="M129" i="3" l="1"/>
  <c r="L130" i="3" s="1"/>
  <c r="M130" i="3" l="1"/>
  <c r="L131" i="3" s="1"/>
  <c r="M131" i="3" l="1"/>
  <c r="L132" i="3" s="1"/>
  <c r="M132" i="3" l="1"/>
  <c r="L133" i="3" s="1"/>
  <c r="M133" i="3" l="1"/>
  <c r="L134" i="3" s="1"/>
  <c r="M134" i="3" l="1"/>
  <c r="L135" i="3" s="1"/>
  <c r="M135" i="3" l="1"/>
  <c r="L136" i="3" s="1"/>
  <c r="M136" i="3" l="1"/>
  <c r="L137" i="3" s="1"/>
  <c r="M137" i="3" l="1"/>
  <c r="L138" i="3" s="1"/>
  <c r="M138" i="3" l="1"/>
  <c r="L139" i="3" s="1"/>
  <c r="M139" i="3" l="1"/>
  <c r="L140" i="3" s="1"/>
  <c r="M140" i="3" l="1"/>
  <c r="L141" i="3" s="1"/>
  <c r="M141" i="3" l="1"/>
  <c r="L142" i="3" s="1"/>
  <c r="M142" i="3" l="1"/>
  <c r="L143" i="3" s="1"/>
  <c r="M143" i="3" l="1"/>
  <c r="L144" i="3" s="1"/>
  <c r="M144" i="3" l="1"/>
  <c r="L145" i="3" s="1"/>
  <c r="M145" i="3" l="1"/>
  <c r="L146" i="3" s="1"/>
  <c r="M146" i="3" l="1"/>
  <c r="L147" i="3" s="1"/>
  <c r="M147" i="3" l="1"/>
  <c r="L148" i="3" s="1"/>
  <c r="M148" i="3" l="1"/>
  <c r="L149" i="3" s="1"/>
  <c r="M149" i="3" l="1"/>
  <c r="L150" i="3" s="1"/>
  <c r="M150" i="3" l="1"/>
  <c r="L151" i="3" s="1"/>
  <c r="M151" i="3" l="1"/>
  <c r="L152" i="3" s="1"/>
  <c r="M152" i="3" l="1"/>
  <c r="L153" i="3" s="1"/>
  <c r="M153" i="3" l="1"/>
  <c r="L154" i="3" s="1"/>
  <c r="M154" i="3" l="1"/>
  <c r="L155" i="3" s="1"/>
  <c r="M155" i="3" l="1"/>
  <c r="L156" i="3" s="1"/>
  <c r="M156" i="3" l="1"/>
  <c r="L157" i="3" s="1"/>
  <c r="M157" i="3" l="1"/>
  <c r="L158" i="3" s="1"/>
  <c r="M158" i="3" l="1"/>
  <c r="L159" i="3" s="1"/>
  <c r="M159" i="3" l="1"/>
  <c r="L160" i="3" s="1"/>
  <c r="M160" i="3" l="1"/>
  <c r="L161" i="3" s="1"/>
  <c r="M161" i="3" l="1"/>
  <c r="L162" i="3" s="1"/>
  <c r="M162" i="3" l="1"/>
  <c r="L163" i="3" s="1"/>
  <c r="M163" i="3" l="1"/>
  <c r="L164" i="3" s="1"/>
  <c r="M164" i="3" l="1"/>
  <c r="L165" i="3" s="1"/>
  <c r="M165" i="3" l="1"/>
  <c r="L166" i="3" s="1"/>
  <c r="M166" i="3" l="1"/>
  <c r="L167" i="3" s="1"/>
  <c r="M167" i="3" l="1"/>
  <c r="L168" i="3" s="1"/>
  <c r="M168" i="3" l="1"/>
  <c r="L169" i="3" s="1"/>
  <c r="M169" i="3" l="1"/>
  <c r="L170" i="3" s="1"/>
  <c r="M170" i="3" l="1"/>
  <c r="L171" i="3" s="1"/>
  <c r="M171" i="3" l="1"/>
  <c r="L172" i="3" s="1"/>
  <c r="M172" i="3" l="1"/>
  <c r="L173" i="3" s="1"/>
  <c r="M173" i="3" l="1"/>
  <c r="L174" i="3" s="1"/>
  <c r="M174" i="3" l="1"/>
  <c r="L175" i="3" s="1"/>
  <c r="M175" i="3" l="1"/>
  <c r="L176" i="3" s="1"/>
  <c r="M176" i="3" l="1"/>
  <c r="L177" i="3" s="1"/>
  <c r="M177" i="3" l="1"/>
  <c r="L178" i="3" s="1"/>
  <c r="M178" i="3" l="1"/>
  <c r="L179" i="3" s="1"/>
  <c r="M179" i="3" l="1"/>
  <c r="L180" i="3" s="1"/>
  <c r="M180" i="3" l="1"/>
  <c r="L181" i="3" s="1"/>
  <c r="M181" i="3" l="1"/>
  <c r="L182" i="3" s="1"/>
  <c r="M182" i="3" l="1"/>
  <c r="L183" i="3" s="1"/>
  <c r="M183" i="3" l="1"/>
  <c r="L184" i="3" s="1"/>
  <c r="M184" i="3" l="1"/>
  <c r="L185" i="3" s="1"/>
  <c r="M185" i="3" l="1"/>
  <c r="L186" i="3" s="1"/>
  <c r="M186" i="3" l="1"/>
  <c r="L187" i="3" s="1"/>
  <c r="M187" i="3" l="1"/>
  <c r="L188" i="3" s="1"/>
  <c r="M188" i="3" l="1"/>
  <c r="L189" i="3" s="1"/>
  <c r="M189" i="3" l="1"/>
  <c r="L190" i="3" s="1"/>
  <c r="M190" i="3" l="1"/>
  <c r="L191" i="3" s="1"/>
  <c r="M191" i="3" l="1"/>
  <c r="L192" i="3" s="1"/>
  <c r="M192" i="3" l="1"/>
  <c r="L193" i="3" s="1"/>
  <c r="M193" i="3" l="1"/>
  <c r="L194" i="3" s="1"/>
  <c r="M194" i="3" l="1"/>
  <c r="L195" i="3" s="1"/>
  <c r="M195" i="3" l="1"/>
  <c r="L196" i="3" s="1"/>
  <c r="M196" i="3" l="1"/>
  <c r="L197" i="3" s="1"/>
  <c r="M197" i="3" l="1"/>
  <c r="L198" i="3" s="1"/>
  <c r="M198" i="3" l="1"/>
  <c r="L199" i="3" s="1"/>
  <c r="M199" i="3" l="1"/>
  <c r="L200" i="3" s="1"/>
  <c r="M200" i="3" l="1"/>
  <c r="L201" i="3" s="1"/>
  <c r="M201" i="3" l="1"/>
  <c r="L202" i="3" s="1"/>
  <c r="M202" i="3" l="1"/>
  <c r="L203" i="3" s="1"/>
  <c r="M203" i="3" l="1"/>
  <c r="L204" i="3" s="1"/>
  <c r="M204" i="3" l="1"/>
  <c r="L205" i="3" s="1"/>
  <c r="M205" i="3" l="1"/>
  <c r="L206" i="3" s="1"/>
  <c r="M206" i="3" l="1"/>
  <c r="L207" i="3" s="1"/>
  <c r="M207" i="3" l="1"/>
  <c r="L208" i="3" s="1"/>
  <c r="M208" i="3" l="1"/>
  <c r="L209" i="3" s="1"/>
  <c r="M209" i="3" l="1"/>
  <c r="L210" i="3" s="1"/>
  <c r="M210" i="3" l="1"/>
  <c r="L211" i="3" s="1"/>
  <c r="M211" i="3" l="1"/>
  <c r="L212" i="3" s="1"/>
  <c r="M212" i="3" l="1"/>
  <c r="L213" i="3" s="1"/>
  <c r="M213" i="3" l="1"/>
  <c r="L214" i="3" s="1"/>
  <c r="M214" i="3" l="1"/>
  <c r="L215" i="3" s="1"/>
  <c r="M215" i="3" l="1"/>
  <c r="L216" i="3" s="1"/>
  <c r="M216" i="3" l="1"/>
  <c r="L217" i="3" s="1"/>
  <c r="M217" i="3" l="1"/>
  <c r="L218" i="3" s="1"/>
  <c r="M218" i="3" l="1"/>
  <c r="L219" i="3" s="1"/>
  <c r="M219" i="3" l="1"/>
  <c r="L220" i="3" s="1"/>
  <c r="M220" i="3" l="1"/>
  <c r="L221" i="3" s="1"/>
  <c r="M221" i="3" l="1"/>
  <c r="L222" i="3" s="1"/>
  <c r="M222" i="3" l="1"/>
  <c r="L223" i="3" s="1"/>
  <c r="M223" i="3" l="1"/>
  <c r="L224" i="3" s="1"/>
  <c r="M224" i="3" l="1"/>
  <c r="L225" i="3" s="1"/>
  <c r="M225" i="3" l="1"/>
  <c r="L226" i="3" s="1"/>
  <c r="M226" i="3" l="1"/>
  <c r="L227" i="3" s="1"/>
  <c r="M227" i="3" l="1"/>
  <c r="L228" i="3" s="1"/>
  <c r="M228" i="3" l="1"/>
  <c r="L229" i="3" s="1"/>
  <c r="M229" i="3" l="1"/>
  <c r="L230" i="3" s="1"/>
  <c r="M230" i="3" l="1"/>
  <c r="L231" i="3" s="1"/>
  <c r="M231" i="3" l="1"/>
  <c r="L232" i="3" s="1"/>
  <c r="M232" i="3" l="1"/>
  <c r="L233" i="3" s="1"/>
  <c r="M233" i="3" l="1"/>
  <c r="L234" i="3" s="1"/>
  <c r="M234" i="3" l="1"/>
  <c r="L235" i="3" s="1"/>
  <c r="M235" i="3" l="1"/>
  <c r="L236" i="3" s="1"/>
  <c r="M236" i="3" l="1"/>
  <c r="L237" i="3" s="1"/>
  <c r="M237" i="3" l="1"/>
  <c r="L238" i="3" s="1"/>
  <c r="M238" i="3" l="1"/>
  <c r="L239" i="3" s="1"/>
  <c r="M239" i="3" l="1"/>
  <c r="L240" i="3" s="1"/>
  <c r="M240" i="3" l="1"/>
  <c r="L241" i="3" s="1"/>
  <c r="M241" i="3" l="1"/>
  <c r="L242" i="3" s="1"/>
  <c r="M242" i="3" l="1"/>
  <c r="L243" i="3" s="1"/>
  <c r="M243" i="3" s="1"/>
  <c r="N4" i="3" s="1"/>
  <c r="O4" i="3" s="1"/>
  <c r="N5" i="3" s="1"/>
  <c r="O5" i="3" s="1"/>
  <c r="N6" i="3" s="1"/>
  <c r="O6" i="3" s="1"/>
  <c r="N7" i="3" s="1"/>
  <c r="O7" i="3" s="1"/>
  <c r="N8" i="3" s="1"/>
  <c r="O8" i="3" s="1"/>
  <c r="N9" i="3" s="1"/>
  <c r="O9" i="3" s="1"/>
  <c r="N10" i="3" s="1"/>
  <c r="O10" i="3" s="1"/>
  <c r="N11" i="3" s="1"/>
  <c r="O11" i="3" s="1"/>
  <c r="N12" i="3" s="1"/>
  <c r="O12" i="3" s="1"/>
  <c r="N13" i="3" s="1"/>
  <c r="O13" i="3" s="1"/>
  <c r="N14" i="3" s="1"/>
  <c r="O14" i="3" s="1"/>
  <c r="N15" i="3" s="1"/>
  <c r="O15" i="3" s="1"/>
  <c r="N16" i="3" s="1"/>
  <c r="O16" i="3" s="1"/>
  <c r="N17" i="3" s="1"/>
  <c r="O17" i="3" s="1"/>
  <c r="N18" i="3" s="1"/>
  <c r="O18" i="3" s="1"/>
  <c r="N19" i="3" s="1"/>
  <c r="O19" i="3" s="1"/>
  <c r="N20" i="3" s="1"/>
  <c r="O20" i="3" s="1"/>
  <c r="N21" i="3" s="1"/>
  <c r="O21" i="3" s="1"/>
  <c r="N22" i="3" s="1"/>
  <c r="O22" i="3" s="1"/>
  <c r="N23" i="3" s="1"/>
  <c r="O23" i="3" s="1"/>
  <c r="N24" i="3" s="1"/>
  <c r="O24" i="3" s="1"/>
  <c r="N25" i="3" s="1"/>
  <c r="O25" i="3" s="1"/>
  <c r="N26" i="3" s="1"/>
  <c r="O26" i="3" s="1"/>
  <c r="N27" i="3" s="1"/>
  <c r="O27" i="3" s="1"/>
  <c r="N28" i="3" s="1"/>
  <c r="O28" i="3" s="1"/>
  <c r="N29" i="3" s="1"/>
  <c r="O29" i="3" s="1"/>
  <c r="N30" i="3" s="1"/>
  <c r="O30" i="3" s="1"/>
  <c r="N31" i="3" s="1"/>
  <c r="O31" i="3" s="1"/>
  <c r="N32" i="3" s="1"/>
  <c r="O32" i="3" s="1"/>
  <c r="N33" i="3" s="1"/>
  <c r="O33" i="3" s="1"/>
  <c r="N34" i="3" s="1"/>
  <c r="O34" i="3" s="1"/>
  <c r="N35" i="3" s="1"/>
  <c r="O35" i="3" s="1"/>
  <c r="N36" i="3" s="1"/>
  <c r="O36" i="3" s="1"/>
  <c r="N37" i="3" s="1"/>
  <c r="O37" i="3" s="1"/>
  <c r="N38" i="3" s="1"/>
  <c r="O38" i="3" s="1"/>
  <c r="N39" i="3" s="1"/>
  <c r="O39" i="3" s="1"/>
  <c r="N40" i="3" s="1"/>
  <c r="O40" i="3" s="1"/>
  <c r="N41" i="3" s="1"/>
  <c r="O41" i="3" s="1"/>
  <c r="N42" i="3" s="1"/>
  <c r="O42" i="3" s="1"/>
  <c r="N43" i="3" s="1"/>
  <c r="O43" i="3" s="1"/>
  <c r="N44" i="3" s="1"/>
  <c r="O44" i="3" s="1"/>
  <c r="N45" i="3" s="1"/>
  <c r="O45" i="3" s="1"/>
  <c r="N46" i="3" s="1"/>
  <c r="O46" i="3" s="1"/>
  <c r="N47" i="3" s="1"/>
  <c r="O47" i="3" s="1"/>
  <c r="N48" i="3" s="1"/>
  <c r="O48" i="3" s="1"/>
  <c r="N49" i="3" s="1"/>
  <c r="O49" i="3" s="1"/>
  <c r="N50" i="3" s="1"/>
  <c r="O50" i="3" s="1"/>
  <c r="N51" i="3" s="1"/>
  <c r="O51" i="3" s="1"/>
  <c r="N52" i="3" s="1"/>
  <c r="O52" i="3" s="1"/>
  <c r="N53" i="3" s="1"/>
  <c r="O53" i="3" s="1"/>
  <c r="N54" i="3" s="1"/>
  <c r="O54" i="3" s="1"/>
  <c r="N55" i="3" s="1"/>
  <c r="O55" i="3" s="1"/>
  <c r="N56" i="3" s="1"/>
  <c r="O56" i="3" s="1"/>
  <c r="N57" i="3" s="1"/>
  <c r="O57" i="3" s="1"/>
  <c r="N58" i="3" s="1"/>
  <c r="O58" i="3" s="1"/>
  <c r="N59" i="3" s="1"/>
  <c r="O59" i="3" s="1"/>
  <c r="N60" i="3" s="1"/>
  <c r="O60" i="3" s="1"/>
  <c r="N61" i="3" s="1"/>
  <c r="O61" i="3" s="1"/>
  <c r="N62" i="3" s="1"/>
  <c r="O62" i="3" s="1"/>
  <c r="N63" i="3" s="1"/>
  <c r="O63" i="3" s="1"/>
  <c r="N64" i="3" s="1"/>
  <c r="O64" i="3" s="1"/>
  <c r="N65" i="3" s="1"/>
  <c r="O65" i="3" s="1"/>
  <c r="N66" i="3" s="1"/>
  <c r="O66" i="3" s="1"/>
  <c r="N67" i="3" s="1"/>
  <c r="O67" i="3" s="1"/>
  <c r="N68" i="3" s="1"/>
  <c r="O68" i="3" s="1"/>
  <c r="N69" i="3" s="1"/>
  <c r="O69" i="3" s="1"/>
  <c r="N70" i="3" s="1"/>
  <c r="O70" i="3" s="1"/>
  <c r="N71" i="3" s="1"/>
  <c r="O71" i="3" s="1"/>
  <c r="N72" i="3" s="1"/>
  <c r="O72" i="3" s="1"/>
  <c r="N73" i="3" s="1"/>
  <c r="O73" i="3" s="1"/>
  <c r="N74" i="3" s="1"/>
  <c r="O74" i="3" s="1"/>
  <c r="N75" i="3" s="1"/>
  <c r="O75" i="3" s="1"/>
  <c r="N76" i="3" s="1"/>
  <c r="O76" i="3" s="1"/>
  <c r="N77" i="3" s="1"/>
  <c r="O77" i="3" s="1"/>
  <c r="N78" i="3" s="1"/>
  <c r="O78" i="3" s="1"/>
  <c r="N79" i="3" s="1"/>
  <c r="O79" i="3" s="1"/>
  <c r="N80" i="3" s="1"/>
  <c r="O80" i="3" s="1"/>
  <c r="N81" i="3" s="1"/>
  <c r="O81" i="3" s="1"/>
  <c r="N82" i="3" s="1"/>
  <c r="O82" i="3" s="1"/>
  <c r="N83" i="3" s="1"/>
  <c r="O83" i="3" s="1"/>
  <c r="N84" i="3" s="1"/>
  <c r="O84" i="3" s="1"/>
  <c r="N85" i="3" s="1"/>
  <c r="O85" i="3" s="1"/>
  <c r="N86" i="3" s="1"/>
  <c r="O86" i="3" s="1"/>
  <c r="N87" i="3" s="1"/>
  <c r="O87" i="3" s="1"/>
  <c r="N88" i="3" s="1"/>
  <c r="O88" i="3" s="1"/>
  <c r="N89" i="3" s="1"/>
  <c r="O89" i="3" s="1"/>
  <c r="N90" i="3" s="1"/>
  <c r="O90" i="3" s="1"/>
  <c r="N91" i="3" s="1"/>
  <c r="O91" i="3" s="1"/>
  <c r="N92" i="3" s="1"/>
  <c r="O92" i="3" s="1"/>
  <c r="N93" i="3" s="1"/>
  <c r="O93" i="3" s="1"/>
  <c r="N94" i="3" s="1"/>
  <c r="O94" i="3" s="1"/>
  <c r="N95" i="3" s="1"/>
  <c r="O95" i="3" s="1"/>
  <c r="N96" i="3" s="1"/>
  <c r="O96" i="3" s="1"/>
  <c r="N97" i="3" s="1"/>
  <c r="O97" i="3" s="1"/>
  <c r="N98" i="3" s="1"/>
  <c r="O98" i="3" s="1"/>
  <c r="N99" i="3" s="1"/>
  <c r="O99" i="3" s="1"/>
  <c r="N100" i="3" s="1"/>
  <c r="O100" i="3" s="1"/>
  <c r="N101" i="3" s="1"/>
  <c r="O101" i="3" s="1"/>
  <c r="N102" i="3" s="1"/>
  <c r="O102" i="3" s="1"/>
  <c r="N103" i="3" s="1"/>
  <c r="O103" i="3" s="1"/>
  <c r="N104" i="3" s="1"/>
  <c r="O104" i="3" s="1"/>
  <c r="N105" i="3" s="1"/>
  <c r="O105" i="3" s="1"/>
  <c r="N106" i="3" s="1"/>
  <c r="O106" i="3" s="1"/>
  <c r="N107" i="3" s="1"/>
  <c r="O107" i="3" s="1"/>
  <c r="N108" i="3" s="1"/>
  <c r="O108" i="3" s="1"/>
  <c r="N109" i="3" s="1"/>
  <c r="O109" i="3" s="1"/>
  <c r="N110" i="3" s="1"/>
  <c r="O110" i="3" s="1"/>
  <c r="N111" i="3" s="1"/>
  <c r="O111" i="3" s="1"/>
  <c r="N112" i="3" s="1"/>
  <c r="O112" i="3" s="1"/>
  <c r="N113" i="3" s="1"/>
  <c r="O113" i="3" s="1"/>
  <c r="N114" i="3" s="1"/>
  <c r="O114" i="3" s="1"/>
  <c r="N115" i="3" s="1"/>
  <c r="O115" i="3" s="1"/>
  <c r="N116" i="3" s="1"/>
  <c r="O116" i="3" s="1"/>
  <c r="N117" i="3" s="1"/>
  <c r="O117" i="3" s="1"/>
  <c r="N118" i="3" s="1"/>
  <c r="O118" i="3" s="1"/>
  <c r="N119" i="3" s="1"/>
  <c r="O119" i="3" s="1"/>
  <c r="N120" i="3" s="1"/>
  <c r="O120" i="3" s="1"/>
  <c r="N121" i="3" s="1"/>
  <c r="O121" i="3" s="1"/>
  <c r="N122" i="3" s="1"/>
  <c r="O122" i="3" s="1"/>
  <c r="N123" i="3" s="1"/>
  <c r="O123" i="3" s="1"/>
  <c r="N124" i="3" s="1"/>
  <c r="O124" i="3" s="1"/>
  <c r="N125" i="3" s="1"/>
  <c r="O125" i="3" s="1"/>
  <c r="N126" i="3" s="1"/>
  <c r="O126" i="3" s="1"/>
  <c r="N127" i="3" s="1"/>
  <c r="O127" i="3" s="1"/>
  <c r="N128" i="3" s="1"/>
  <c r="O128" i="3" s="1"/>
  <c r="N129" i="3" s="1"/>
  <c r="O129" i="3" s="1"/>
  <c r="N130" i="3" s="1"/>
  <c r="O130" i="3" s="1"/>
  <c r="N131" i="3" s="1"/>
  <c r="O131" i="3" s="1"/>
  <c r="N132" i="3" s="1"/>
  <c r="O132" i="3" s="1"/>
  <c r="N133" i="3" s="1"/>
  <c r="O133" i="3" s="1"/>
  <c r="N134" i="3" s="1"/>
  <c r="O134" i="3" s="1"/>
  <c r="N135" i="3" s="1"/>
  <c r="O135" i="3" s="1"/>
  <c r="N136" i="3" s="1"/>
  <c r="O136" i="3" s="1"/>
  <c r="N137" i="3" s="1"/>
  <c r="O137" i="3" s="1"/>
  <c r="N138" i="3" s="1"/>
  <c r="O138" i="3" s="1"/>
  <c r="N139" i="3" s="1"/>
  <c r="O139" i="3" s="1"/>
  <c r="N140" i="3" s="1"/>
  <c r="O140" i="3" s="1"/>
  <c r="N141" i="3" s="1"/>
  <c r="O141" i="3" s="1"/>
  <c r="N142" i="3" s="1"/>
  <c r="O142" i="3" s="1"/>
  <c r="N143" i="3" s="1"/>
  <c r="O143" i="3" s="1"/>
  <c r="N144" i="3" s="1"/>
  <c r="O144" i="3" s="1"/>
  <c r="N145" i="3" s="1"/>
  <c r="O145" i="3" s="1"/>
  <c r="N146" i="3" s="1"/>
  <c r="O146" i="3" s="1"/>
  <c r="N147" i="3" s="1"/>
  <c r="O147" i="3" s="1"/>
  <c r="N148" i="3" s="1"/>
  <c r="O148" i="3" s="1"/>
  <c r="N149" i="3" s="1"/>
  <c r="O149" i="3" s="1"/>
  <c r="N150" i="3" s="1"/>
  <c r="O150" i="3" s="1"/>
  <c r="N151" i="3" s="1"/>
  <c r="O151" i="3" s="1"/>
  <c r="N152" i="3" s="1"/>
  <c r="O152" i="3" s="1"/>
  <c r="N153" i="3" s="1"/>
  <c r="O153" i="3" s="1"/>
  <c r="N154" i="3" s="1"/>
  <c r="O154" i="3" s="1"/>
  <c r="N155" i="3" s="1"/>
  <c r="O155" i="3" s="1"/>
  <c r="N156" i="3" s="1"/>
  <c r="O156" i="3" s="1"/>
  <c r="N157" i="3" s="1"/>
  <c r="O157" i="3" s="1"/>
  <c r="N158" i="3" s="1"/>
  <c r="O158" i="3" s="1"/>
  <c r="N159" i="3" s="1"/>
  <c r="O159" i="3" s="1"/>
  <c r="N160" i="3" s="1"/>
  <c r="O160" i="3" s="1"/>
  <c r="N161" i="3" s="1"/>
  <c r="O161" i="3" s="1"/>
  <c r="N162" i="3" s="1"/>
  <c r="O162" i="3" s="1"/>
  <c r="N163" i="3" s="1"/>
  <c r="O163" i="3" s="1"/>
  <c r="N164" i="3" s="1"/>
  <c r="O164" i="3" s="1"/>
  <c r="N165" i="3" s="1"/>
  <c r="O165" i="3" s="1"/>
  <c r="N166" i="3" s="1"/>
  <c r="O166" i="3" s="1"/>
  <c r="N167" i="3" s="1"/>
  <c r="O167" i="3" s="1"/>
  <c r="N168" i="3" s="1"/>
  <c r="O168" i="3" s="1"/>
  <c r="N169" i="3" s="1"/>
  <c r="O169" i="3" s="1"/>
  <c r="N170" i="3" s="1"/>
  <c r="O170" i="3" s="1"/>
  <c r="N171" i="3" s="1"/>
  <c r="O171" i="3" s="1"/>
  <c r="N172" i="3" s="1"/>
  <c r="O172" i="3" s="1"/>
  <c r="N173" i="3" s="1"/>
  <c r="O173" i="3" s="1"/>
  <c r="N174" i="3" s="1"/>
  <c r="O174" i="3" s="1"/>
  <c r="N175" i="3" s="1"/>
  <c r="O175" i="3" s="1"/>
  <c r="N176" i="3" s="1"/>
  <c r="O176" i="3" s="1"/>
  <c r="N177" i="3" s="1"/>
  <c r="O177" i="3" s="1"/>
  <c r="N178" i="3" s="1"/>
  <c r="O178" i="3" s="1"/>
  <c r="N179" i="3" s="1"/>
  <c r="O179" i="3" s="1"/>
  <c r="N180" i="3" s="1"/>
  <c r="O180" i="3" s="1"/>
  <c r="N181" i="3" s="1"/>
  <c r="O181" i="3" s="1"/>
  <c r="N182" i="3" s="1"/>
  <c r="O182" i="3" s="1"/>
  <c r="N183" i="3" s="1"/>
  <c r="O183" i="3" s="1"/>
  <c r="N184" i="3" s="1"/>
  <c r="O184" i="3" s="1"/>
  <c r="N185" i="3" s="1"/>
  <c r="O185" i="3" s="1"/>
  <c r="N186" i="3" s="1"/>
  <c r="O186" i="3" s="1"/>
  <c r="N187" i="3" s="1"/>
  <c r="O187" i="3" s="1"/>
  <c r="N188" i="3" s="1"/>
  <c r="O188" i="3" s="1"/>
  <c r="N189" i="3" s="1"/>
  <c r="O189" i="3" s="1"/>
  <c r="N190" i="3" s="1"/>
  <c r="O190" i="3" s="1"/>
  <c r="N191" i="3" s="1"/>
  <c r="O191" i="3" s="1"/>
  <c r="N192" i="3" s="1"/>
  <c r="O192" i="3" s="1"/>
  <c r="N193" i="3" s="1"/>
  <c r="O193" i="3" s="1"/>
  <c r="N194" i="3" s="1"/>
  <c r="O194" i="3" s="1"/>
  <c r="N195" i="3" s="1"/>
  <c r="O195" i="3" s="1"/>
  <c r="N196" i="3" s="1"/>
  <c r="O196" i="3" s="1"/>
  <c r="N197" i="3" s="1"/>
  <c r="O197" i="3" s="1"/>
  <c r="N198" i="3" s="1"/>
  <c r="O198" i="3" s="1"/>
  <c r="N199" i="3" s="1"/>
  <c r="O199" i="3" s="1"/>
  <c r="N200" i="3" s="1"/>
  <c r="O200" i="3" s="1"/>
  <c r="N201" i="3" s="1"/>
  <c r="O201" i="3" s="1"/>
  <c r="N202" i="3" s="1"/>
  <c r="O202" i="3" s="1"/>
  <c r="N203" i="3" s="1"/>
  <c r="O203" i="3" s="1"/>
  <c r="N204" i="3" s="1"/>
  <c r="O204" i="3" s="1"/>
  <c r="N205" i="3" s="1"/>
  <c r="O205" i="3" s="1"/>
  <c r="N206" i="3" s="1"/>
  <c r="O206" i="3" s="1"/>
  <c r="N207" i="3" s="1"/>
  <c r="O207" i="3" s="1"/>
  <c r="N208" i="3" s="1"/>
  <c r="O208" i="3" s="1"/>
  <c r="N209" i="3" s="1"/>
  <c r="O209" i="3" s="1"/>
  <c r="N210" i="3" s="1"/>
  <c r="O210" i="3" s="1"/>
  <c r="N211" i="3" s="1"/>
  <c r="O211" i="3" s="1"/>
  <c r="N212" i="3" s="1"/>
  <c r="O212" i="3" s="1"/>
  <c r="N213" i="3" s="1"/>
  <c r="O213" i="3" s="1"/>
  <c r="N214" i="3" s="1"/>
  <c r="O214" i="3" s="1"/>
  <c r="N215" i="3" s="1"/>
  <c r="O215" i="3" s="1"/>
  <c r="N216" i="3" s="1"/>
  <c r="O216" i="3" s="1"/>
  <c r="N217" i="3" s="1"/>
  <c r="O217" i="3" s="1"/>
  <c r="N218" i="3" s="1"/>
  <c r="O218" i="3" s="1"/>
  <c r="N219" i="3" s="1"/>
  <c r="O219" i="3" s="1"/>
  <c r="N220" i="3" s="1"/>
  <c r="O220" i="3" s="1"/>
  <c r="N221" i="3" s="1"/>
  <c r="O221" i="3" s="1"/>
  <c r="N222" i="3" s="1"/>
  <c r="O222" i="3" s="1"/>
  <c r="N223" i="3" s="1"/>
  <c r="O223" i="3" s="1"/>
  <c r="N224" i="3" s="1"/>
  <c r="O224" i="3" s="1"/>
  <c r="N225" i="3" s="1"/>
  <c r="O225" i="3" s="1"/>
  <c r="N226" i="3" s="1"/>
  <c r="O226" i="3" s="1"/>
  <c r="N227" i="3" s="1"/>
  <c r="O227" i="3" s="1"/>
  <c r="N228" i="3" s="1"/>
  <c r="O228" i="3" s="1"/>
  <c r="N229" i="3" s="1"/>
  <c r="O229" i="3" s="1"/>
  <c r="N230" i="3" s="1"/>
  <c r="O230" i="3" s="1"/>
  <c r="N231" i="3" s="1"/>
  <c r="O231" i="3" s="1"/>
  <c r="N232" i="3" s="1"/>
  <c r="O232" i="3" s="1"/>
  <c r="N233" i="3" s="1"/>
  <c r="O233" i="3" s="1"/>
  <c r="N234" i="3" s="1"/>
  <c r="O234" i="3" s="1"/>
  <c r="N235" i="3" s="1"/>
  <c r="O235" i="3" s="1"/>
  <c r="N236" i="3" s="1"/>
  <c r="O236" i="3" s="1"/>
  <c r="N237" i="3" s="1"/>
  <c r="O237" i="3" s="1"/>
  <c r="N238" i="3" s="1"/>
  <c r="O238" i="3" s="1"/>
  <c r="N239" i="3" s="1"/>
  <c r="O239" i="3" s="1"/>
  <c r="N240" i="3" s="1"/>
  <c r="O240" i="3" s="1"/>
  <c r="N241" i="3" s="1"/>
  <c r="O241" i="3" s="1"/>
  <c r="N242" i="3" s="1"/>
  <c r="O242" i="3" s="1"/>
  <c r="N243" i="3" s="1"/>
  <c r="O243" i="3" s="1"/>
  <c r="P4" i="3" s="1"/>
  <c r="Q4" i="3" s="1"/>
  <c r="P5" i="3" s="1"/>
  <c r="Q5" i="3" s="1"/>
  <c r="P6" i="3" s="1"/>
  <c r="Q6" i="3" s="1"/>
  <c r="P7" i="3" s="1"/>
  <c r="Q7" i="3" s="1"/>
  <c r="P8" i="3" s="1"/>
  <c r="Q8" i="3" s="1"/>
  <c r="P9" i="3" s="1"/>
  <c r="Q9" i="3" s="1"/>
  <c r="P10" i="3" s="1"/>
  <c r="Q10" i="3" s="1"/>
  <c r="P11" i="3" s="1"/>
  <c r="Q11" i="3" s="1"/>
  <c r="P12" i="3" s="1"/>
  <c r="Q12" i="3" s="1"/>
  <c r="P13" i="3" s="1"/>
  <c r="Q13" i="3" s="1"/>
  <c r="P14" i="3" s="1"/>
  <c r="Q14" i="3" s="1"/>
  <c r="P15" i="3" s="1"/>
  <c r="Q15" i="3" s="1"/>
  <c r="P16" i="3" s="1"/>
  <c r="Q16" i="3" s="1"/>
  <c r="P17" i="3" s="1"/>
  <c r="Q17" i="3" s="1"/>
  <c r="P18" i="3" s="1"/>
  <c r="Q18" i="3" s="1"/>
  <c r="P19" i="3" s="1"/>
  <c r="Q19" i="3" s="1"/>
  <c r="P20" i="3" s="1"/>
  <c r="Q20" i="3" s="1"/>
  <c r="P21" i="3" s="1"/>
  <c r="Q21" i="3" s="1"/>
  <c r="P22" i="3" s="1"/>
  <c r="Q22" i="3" s="1"/>
  <c r="P23" i="3" s="1"/>
  <c r="Q23" i="3" s="1"/>
  <c r="P24" i="3" s="1"/>
  <c r="Q24" i="3" s="1"/>
  <c r="P25" i="3" s="1"/>
  <c r="Q25" i="3" s="1"/>
  <c r="P26" i="3" s="1"/>
  <c r="Q26" i="3" s="1"/>
  <c r="P27" i="3" s="1"/>
  <c r="Q27" i="3" s="1"/>
  <c r="P28" i="3" s="1"/>
  <c r="Q28" i="3" s="1"/>
  <c r="P29" i="3" s="1"/>
  <c r="Q29" i="3" s="1"/>
  <c r="P30" i="3" s="1"/>
  <c r="Q30" i="3" s="1"/>
  <c r="P31" i="3" s="1"/>
  <c r="Q31" i="3" s="1"/>
  <c r="P32" i="3" s="1"/>
  <c r="Q32" i="3" s="1"/>
  <c r="P33" i="3" s="1"/>
  <c r="Q33" i="3" s="1"/>
  <c r="P34" i="3" s="1"/>
  <c r="Q34" i="3" s="1"/>
  <c r="P35" i="3" s="1"/>
  <c r="Q35" i="3" s="1"/>
  <c r="P36" i="3" s="1"/>
  <c r="Q36" i="3" s="1"/>
  <c r="P37" i="3" s="1"/>
  <c r="Q37" i="3" s="1"/>
  <c r="P38" i="3" s="1"/>
  <c r="Q38" i="3" s="1"/>
  <c r="P39" i="3" s="1"/>
  <c r="Q39" i="3" s="1"/>
  <c r="P40" i="3" s="1"/>
  <c r="Q40" i="3" s="1"/>
  <c r="P41" i="3" s="1"/>
  <c r="Q41" i="3" s="1"/>
  <c r="P42" i="3" s="1"/>
  <c r="Q42" i="3" s="1"/>
  <c r="P43" i="3" s="1"/>
  <c r="Q43" i="3" s="1"/>
  <c r="P44" i="3" s="1"/>
  <c r="Q44" i="3" s="1"/>
  <c r="P45" i="3" s="1"/>
  <c r="Q45" i="3" s="1"/>
  <c r="P46" i="3" s="1"/>
  <c r="Q46" i="3" s="1"/>
  <c r="P47" i="3" s="1"/>
  <c r="Q47" i="3" s="1"/>
  <c r="P48" i="3" s="1"/>
  <c r="Q48" i="3" s="1"/>
  <c r="P49" i="3" s="1"/>
  <c r="Q49" i="3" s="1"/>
  <c r="P50" i="3" s="1"/>
  <c r="Q50" i="3" s="1"/>
  <c r="P51" i="3" s="1"/>
  <c r="Q51" i="3" s="1"/>
  <c r="P52" i="3" s="1"/>
  <c r="Q52" i="3" s="1"/>
  <c r="P53" i="3" s="1"/>
  <c r="Q53" i="3" s="1"/>
  <c r="P54" i="3" s="1"/>
  <c r="Q54" i="3" s="1"/>
  <c r="P55" i="3" s="1"/>
  <c r="Q55" i="3" s="1"/>
  <c r="P56" i="3" s="1"/>
  <c r="Q56" i="3" s="1"/>
  <c r="P57" i="3" s="1"/>
  <c r="Q57" i="3" s="1"/>
  <c r="P58" i="3" s="1"/>
  <c r="Q58" i="3" s="1"/>
  <c r="P59" i="3" s="1"/>
  <c r="Q59" i="3" s="1"/>
  <c r="P60" i="3" s="1"/>
  <c r="Q60" i="3" s="1"/>
  <c r="P61" i="3" s="1"/>
  <c r="Q61" i="3" s="1"/>
  <c r="P62" i="3" s="1"/>
  <c r="Q62" i="3" s="1"/>
  <c r="P63" i="3" s="1"/>
  <c r="Q63" i="3" s="1"/>
  <c r="P64" i="3" s="1"/>
  <c r="Q64" i="3" s="1"/>
  <c r="P65" i="3" s="1"/>
  <c r="Q65" i="3" s="1"/>
  <c r="P66" i="3" s="1"/>
  <c r="Q66" i="3" s="1"/>
  <c r="P67" i="3" s="1"/>
  <c r="Q67" i="3" s="1"/>
  <c r="P68" i="3" s="1"/>
  <c r="Q68" i="3" s="1"/>
  <c r="P69" i="3" s="1"/>
  <c r="Q69" i="3" s="1"/>
  <c r="P70" i="3" s="1"/>
  <c r="Q70" i="3" s="1"/>
  <c r="P71" i="3" s="1"/>
  <c r="Q71" i="3" s="1"/>
  <c r="P72" i="3" s="1"/>
  <c r="Q72" i="3" s="1"/>
  <c r="P73" i="3" s="1"/>
  <c r="Q73" i="3" s="1"/>
  <c r="P74" i="3" s="1"/>
  <c r="Q74" i="3" s="1"/>
  <c r="P75" i="3" s="1"/>
  <c r="Q75" i="3" s="1"/>
  <c r="P76" i="3" s="1"/>
  <c r="Q76" i="3" s="1"/>
  <c r="P77" i="3" s="1"/>
  <c r="Q77" i="3" s="1"/>
  <c r="P78" i="3" s="1"/>
  <c r="Q78" i="3" s="1"/>
  <c r="P79" i="3" s="1"/>
  <c r="Q79" i="3" s="1"/>
  <c r="P80" i="3" s="1"/>
  <c r="Q80" i="3" s="1"/>
  <c r="P81" i="3" s="1"/>
  <c r="Q81" i="3" s="1"/>
  <c r="P82" i="3" s="1"/>
  <c r="Q82" i="3" s="1"/>
  <c r="P83" i="3" s="1"/>
  <c r="Q83" i="3" s="1"/>
  <c r="P84" i="3" s="1"/>
  <c r="Q84" i="3" s="1"/>
  <c r="P85" i="3" s="1"/>
  <c r="Q85" i="3" s="1"/>
  <c r="P86" i="3" s="1"/>
  <c r="Q86" i="3" s="1"/>
  <c r="P87" i="3" s="1"/>
  <c r="Q87" i="3" s="1"/>
  <c r="P88" i="3" s="1"/>
  <c r="Q88" i="3" s="1"/>
  <c r="P89" i="3" s="1"/>
  <c r="Q89" i="3" s="1"/>
  <c r="P90" i="3" s="1"/>
  <c r="Q90" i="3" s="1"/>
  <c r="P91" i="3" s="1"/>
  <c r="Q91" i="3" s="1"/>
  <c r="P92" i="3" s="1"/>
  <c r="Q92" i="3" s="1"/>
  <c r="P93" i="3" s="1"/>
  <c r="Q93" i="3" s="1"/>
  <c r="P94" i="3" s="1"/>
  <c r="Q94" i="3" s="1"/>
  <c r="P95" i="3" s="1"/>
  <c r="Q95" i="3" s="1"/>
  <c r="P96" i="3" s="1"/>
  <c r="Q96" i="3" s="1"/>
  <c r="P97" i="3" s="1"/>
  <c r="Q97" i="3" s="1"/>
  <c r="P98" i="3" s="1"/>
  <c r="Q98" i="3" s="1"/>
  <c r="P99" i="3" s="1"/>
  <c r="Q99" i="3" s="1"/>
  <c r="P100" i="3" s="1"/>
  <c r="Q100" i="3" s="1"/>
  <c r="P101" i="3" s="1"/>
  <c r="Q101" i="3" s="1"/>
  <c r="P102" i="3" s="1"/>
  <c r="Q102" i="3" s="1"/>
  <c r="P103" i="3" s="1"/>
  <c r="Q103" i="3" s="1"/>
  <c r="P104" i="3" s="1"/>
  <c r="Q104" i="3" s="1"/>
  <c r="P105" i="3" s="1"/>
  <c r="Q105" i="3" s="1"/>
  <c r="P106" i="3" s="1"/>
  <c r="Q106" i="3" s="1"/>
  <c r="P107" i="3" s="1"/>
  <c r="Q107" i="3" s="1"/>
  <c r="P108" i="3" s="1"/>
  <c r="Q108" i="3" s="1"/>
  <c r="P109" i="3" s="1"/>
  <c r="Q109" i="3" s="1"/>
  <c r="P110" i="3" s="1"/>
  <c r="Q110" i="3" s="1"/>
  <c r="P111" i="3" s="1"/>
  <c r="Q111" i="3" s="1"/>
  <c r="P112" i="3" s="1"/>
  <c r="Q112" i="3" s="1"/>
  <c r="P113" i="3" s="1"/>
  <c r="Q113" i="3" s="1"/>
  <c r="P114" i="3" s="1"/>
  <c r="Q114" i="3" s="1"/>
  <c r="P115" i="3" s="1"/>
  <c r="Q115" i="3" s="1"/>
  <c r="P116" i="3" s="1"/>
  <c r="Q116" i="3" s="1"/>
  <c r="P117" i="3" s="1"/>
  <c r="Q117" i="3" s="1"/>
  <c r="P118" i="3" s="1"/>
  <c r="Q118" i="3" s="1"/>
  <c r="P119" i="3" s="1"/>
  <c r="Q119" i="3" s="1"/>
  <c r="P120" i="3" s="1"/>
  <c r="Q120" i="3" s="1"/>
  <c r="P121" i="3" s="1"/>
  <c r="Q121" i="3" s="1"/>
  <c r="P122" i="3" s="1"/>
  <c r="Q122" i="3" s="1"/>
  <c r="P123" i="3" s="1"/>
  <c r="Q123" i="3" s="1"/>
  <c r="P124" i="3" s="1"/>
  <c r="Q124" i="3" s="1"/>
  <c r="P125" i="3" s="1"/>
  <c r="Q125" i="3" s="1"/>
  <c r="P126" i="3" s="1"/>
  <c r="Q126" i="3" s="1"/>
  <c r="P127" i="3" s="1"/>
  <c r="Q127" i="3" s="1"/>
  <c r="P128" i="3" s="1"/>
  <c r="Q128" i="3" s="1"/>
  <c r="P129" i="3" s="1"/>
  <c r="Q129" i="3" s="1"/>
  <c r="P130" i="3" s="1"/>
  <c r="Q130" i="3" s="1"/>
  <c r="P131" i="3" s="1"/>
  <c r="Q131" i="3" s="1"/>
  <c r="P132" i="3" s="1"/>
  <c r="Q132" i="3" s="1"/>
  <c r="P133" i="3" s="1"/>
  <c r="Q133" i="3" s="1"/>
  <c r="P134" i="3" s="1"/>
  <c r="Q134" i="3" s="1"/>
  <c r="P135" i="3" s="1"/>
  <c r="Q135" i="3" s="1"/>
  <c r="P136" i="3" s="1"/>
  <c r="Q136" i="3" s="1"/>
  <c r="P137" i="3" s="1"/>
  <c r="Q137" i="3" s="1"/>
  <c r="P138" i="3" s="1"/>
  <c r="Q138" i="3" s="1"/>
  <c r="P139" i="3" s="1"/>
  <c r="Q139" i="3" s="1"/>
  <c r="P140" i="3" s="1"/>
  <c r="Q140" i="3" s="1"/>
  <c r="P141" i="3" s="1"/>
  <c r="Q141" i="3" s="1"/>
  <c r="P142" i="3" s="1"/>
  <c r="Q142" i="3" s="1"/>
  <c r="P143" i="3" s="1"/>
  <c r="Q143" i="3" s="1"/>
  <c r="P144" i="3" s="1"/>
  <c r="Q144" i="3" s="1"/>
  <c r="P145" i="3" s="1"/>
  <c r="Q145" i="3" s="1"/>
  <c r="P146" i="3" s="1"/>
  <c r="Q146" i="3" s="1"/>
  <c r="P147" i="3" s="1"/>
  <c r="Q147" i="3" s="1"/>
  <c r="P148" i="3" s="1"/>
  <c r="Q148" i="3" s="1"/>
  <c r="P149" i="3" s="1"/>
  <c r="Q149" i="3" s="1"/>
  <c r="P150" i="3" s="1"/>
  <c r="Q150" i="3" s="1"/>
  <c r="P151" i="3" s="1"/>
  <c r="Q151" i="3" s="1"/>
  <c r="P152" i="3" s="1"/>
  <c r="Q152" i="3" s="1"/>
  <c r="P153" i="3" s="1"/>
  <c r="Q153" i="3" s="1"/>
  <c r="P154" i="3" s="1"/>
  <c r="Q154" i="3" s="1"/>
  <c r="P155" i="3" s="1"/>
  <c r="Q155" i="3" s="1"/>
  <c r="P156" i="3" s="1"/>
  <c r="Q156" i="3" s="1"/>
  <c r="P157" i="3" s="1"/>
  <c r="Q157" i="3" s="1"/>
  <c r="P158" i="3" s="1"/>
  <c r="Q158" i="3" s="1"/>
  <c r="P159" i="3" s="1"/>
  <c r="Q159" i="3" s="1"/>
  <c r="P160" i="3" s="1"/>
  <c r="Q160" i="3" s="1"/>
  <c r="P161" i="3" s="1"/>
  <c r="Q161" i="3" s="1"/>
  <c r="P162" i="3" s="1"/>
  <c r="Q162" i="3" s="1"/>
  <c r="P163" i="3" s="1"/>
  <c r="Q163" i="3" s="1"/>
  <c r="P164" i="3" s="1"/>
  <c r="Q164" i="3" s="1"/>
  <c r="P165" i="3" s="1"/>
  <c r="Q165" i="3" s="1"/>
  <c r="P166" i="3" s="1"/>
  <c r="Q166" i="3" s="1"/>
  <c r="P167" i="3" s="1"/>
  <c r="Q167" i="3" s="1"/>
  <c r="P168" i="3" s="1"/>
  <c r="Q168" i="3" s="1"/>
  <c r="P169" i="3" s="1"/>
  <c r="Q169" i="3" s="1"/>
  <c r="P170" i="3" s="1"/>
  <c r="Q170" i="3" s="1"/>
  <c r="P171" i="3" s="1"/>
  <c r="Q171" i="3" s="1"/>
  <c r="P172" i="3" s="1"/>
  <c r="Q172" i="3" s="1"/>
  <c r="P173" i="3" s="1"/>
  <c r="Q173" i="3" s="1"/>
  <c r="P174" i="3" s="1"/>
  <c r="Q174" i="3" s="1"/>
  <c r="P175" i="3" s="1"/>
  <c r="Q175" i="3" s="1"/>
  <c r="P176" i="3" s="1"/>
  <c r="Q176" i="3" s="1"/>
  <c r="P177" i="3" s="1"/>
  <c r="Q177" i="3" s="1"/>
  <c r="P178" i="3" s="1"/>
  <c r="Q178" i="3" s="1"/>
  <c r="P179" i="3" s="1"/>
  <c r="Q179" i="3" s="1"/>
  <c r="P180" i="3" s="1"/>
  <c r="Q180" i="3" s="1"/>
  <c r="P181" i="3" s="1"/>
  <c r="Q181" i="3" s="1"/>
  <c r="P182" i="3" s="1"/>
  <c r="Q182" i="3" s="1"/>
  <c r="P183" i="3" s="1"/>
  <c r="Q183" i="3" s="1"/>
  <c r="P184" i="3" s="1"/>
  <c r="Q184" i="3" s="1"/>
  <c r="P185" i="3" s="1"/>
  <c r="Q185" i="3" s="1"/>
  <c r="P186" i="3" s="1"/>
  <c r="Q186" i="3" s="1"/>
  <c r="P187" i="3" s="1"/>
  <c r="Q187" i="3" s="1"/>
  <c r="P188" i="3" s="1"/>
  <c r="Q188" i="3" s="1"/>
  <c r="P189" i="3" s="1"/>
  <c r="Q189" i="3" s="1"/>
  <c r="P190" i="3" s="1"/>
  <c r="Q190" i="3" s="1"/>
  <c r="P191" i="3" s="1"/>
  <c r="Q191" i="3" s="1"/>
  <c r="P192" i="3" s="1"/>
  <c r="Q192" i="3" s="1"/>
  <c r="P193" i="3" s="1"/>
  <c r="Q193" i="3" s="1"/>
  <c r="P194" i="3" s="1"/>
  <c r="Q194" i="3" s="1"/>
  <c r="P195" i="3" s="1"/>
  <c r="Q195" i="3" s="1"/>
  <c r="P196" i="3" s="1"/>
  <c r="Q196" i="3" s="1"/>
  <c r="P197" i="3" s="1"/>
  <c r="Q197" i="3" s="1"/>
  <c r="P198" i="3" s="1"/>
  <c r="Q198" i="3" s="1"/>
  <c r="P199" i="3" s="1"/>
  <c r="Q199" i="3" s="1"/>
  <c r="P200" i="3" s="1"/>
  <c r="Q200" i="3" s="1"/>
  <c r="P201" i="3" s="1"/>
  <c r="Q201" i="3" s="1"/>
  <c r="P202" i="3" s="1"/>
  <c r="Q202" i="3" s="1"/>
  <c r="P203" i="3" l="1"/>
  <c r="Q203" i="3" s="1"/>
  <c r="P204" i="3" s="1"/>
  <c r="Q204" i="3" s="1"/>
  <c r="P205" i="3" s="1"/>
  <c r="Q205" i="3" s="1"/>
  <c r="P206" i="3" s="1"/>
  <c r="Q206" i="3" s="1"/>
  <c r="P207" i="3" s="1"/>
  <c r="Q207" i="3" s="1"/>
  <c r="P208" i="3" s="1"/>
  <c r="Q208" i="3" s="1"/>
  <c r="P209" i="3" s="1"/>
  <c r="Q209" i="3" s="1"/>
  <c r="P210" i="3" s="1"/>
  <c r="Q210" i="3" s="1"/>
  <c r="P211" i="3" l="1"/>
  <c r="Q211" i="3" s="1"/>
  <c r="P212" i="3" s="1"/>
  <c r="Q212" i="3" s="1"/>
  <c r="P213" i="3" s="1"/>
  <c r="Q213" i="3" s="1"/>
  <c r="P214" i="3" s="1"/>
  <c r="Q214" i="3" s="1"/>
  <c r="P215" i="3" s="1"/>
  <c r="Q215" i="3" s="1"/>
  <c r="P216" i="3" s="1"/>
  <c r="Q216" i="3" s="1"/>
  <c r="P217" i="3" s="1"/>
  <c r="Q217" i="3" s="1"/>
  <c r="P218" i="3" s="1"/>
  <c r="Q218" i="3" s="1"/>
  <c r="P219" i="3" l="1"/>
  <c r="Q219" i="3" s="1"/>
  <c r="P220" i="3" s="1"/>
  <c r="Q220" i="3" s="1"/>
  <c r="P221" i="3" s="1"/>
  <c r="Q221" i="3" s="1"/>
  <c r="P222" i="3" s="1"/>
  <c r="Q222" i="3" s="1"/>
  <c r="P223" i="3" s="1"/>
  <c r="Q223" i="3" s="1"/>
  <c r="P224" i="3" s="1"/>
  <c r="Q224" i="3" s="1"/>
  <c r="P225" i="3" s="1"/>
  <c r="Q225" i="3" s="1"/>
  <c r="P226" i="3" s="1"/>
  <c r="Q226" i="3" s="1"/>
  <c r="P227" i="3" l="1"/>
  <c r="Q227" i="3" s="1"/>
  <c r="P228" i="3" s="1"/>
  <c r="Q228" i="3" s="1"/>
  <c r="P229" i="3" s="1"/>
  <c r="Q229" i="3" s="1"/>
  <c r="P230" i="3" s="1"/>
  <c r="Q230" i="3" s="1"/>
  <c r="P231" i="3" s="1"/>
  <c r="Q231" i="3" s="1"/>
  <c r="P232" i="3" s="1"/>
  <c r="Q232" i="3" s="1"/>
  <c r="P233" i="3" s="1"/>
  <c r="Q233" i="3" s="1"/>
  <c r="P234" i="3" s="1"/>
  <c r="Q234" i="3" s="1"/>
  <c r="P235" i="3" s="1"/>
  <c r="Q235" i="3" s="1"/>
  <c r="P236" i="3" s="1"/>
  <c r="Q236" i="3" s="1"/>
  <c r="P237" i="3" s="1"/>
  <c r="Q237" i="3" s="1"/>
  <c r="P238" i="3" s="1"/>
  <c r="Q238" i="3" s="1"/>
  <c r="P239" i="3" s="1"/>
  <c r="Q239" i="3" s="1"/>
  <c r="P240" i="3" s="1"/>
  <c r="Q240" i="3" s="1"/>
  <c r="P241" i="3" s="1"/>
  <c r="Q241" i="3" s="1"/>
  <c r="P242" i="3" s="1"/>
  <c r="Q242" i="3" s="1"/>
  <c r="P243" i="3" s="1"/>
  <c r="Q243" i="3" s="1"/>
</calcChain>
</file>

<file path=xl/sharedStrings.xml><?xml version="1.0" encoding="utf-8"?>
<sst xmlns="http://schemas.openxmlformats.org/spreadsheetml/2006/main" count="1991" uniqueCount="790">
  <si>
    <t>Abjad</t>
  </si>
  <si>
    <t>Labels</t>
  </si>
  <si>
    <t>ELabels</t>
  </si>
  <si>
    <t>State</t>
  </si>
  <si>
    <t>#</t>
  </si>
  <si>
    <t>ا</t>
  </si>
  <si>
    <t xml:space="preserve"> الف Iso</t>
  </si>
  <si>
    <t>Alif Iso</t>
  </si>
  <si>
    <t>Glyph</t>
  </si>
  <si>
    <t>ـا</t>
  </si>
  <si>
    <t xml:space="preserve"> الف L</t>
  </si>
  <si>
    <t>Alif L</t>
  </si>
  <si>
    <t>آ</t>
  </si>
  <si>
    <t xml:space="preserve"> الف  مد Iso</t>
  </si>
  <si>
    <t>Alif Mad Iso</t>
  </si>
  <si>
    <t>ـآ</t>
  </si>
  <si>
    <t xml:space="preserve"> الف  مد L</t>
  </si>
  <si>
    <t>Alif Mad L</t>
  </si>
  <si>
    <t>ب</t>
  </si>
  <si>
    <t xml:space="preserve"> بے Iso</t>
  </si>
  <si>
    <t>Bay Iso</t>
  </si>
  <si>
    <t>ـب</t>
  </si>
  <si>
    <t xml:space="preserve"> بے L</t>
  </si>
  <si>
    <t>Bay L</t>
  </si>
  <si>
    <t>ـبـ</t>
  </si>
  <si>
    <t xml:space="preserve"> بے m</t>
  </si>
  <si>
    <t>Bay m</t>
  </si>
  <si>
    <t>بـ</t>
  </si>
  <si>
    <t xml:space="preserve"> بے i</t>
  </si>
  <si>
    <t>Bay i</t>
  </si>
  <si>
    <t>پ</t>
  </si>
  <si>
    <t xml:space="preserve"> پے Iso</t>
  </si>
  <si>
    <t>Pay Iso</t>
  </si>
  <si>
    <t>ـپ</t>
  </si>
  <si>
    <t xml:space="preserve"> پے L</t>
  </si>
  <si>
    <t>Pay L</t>
  </si>
  <si>
    <t>ـپـ</t>
  </si>
  <si>
    <t xml:space="preserve"> پے m</t>
  </si>
  <si>
    <t>Pay m</t>
  </si>
  <si>
    <t>پـ</t>
  </si>
  <si>
    <t xml:space="preserve"> پے i</t>
  </si>
  <si>
    <t>Pay i</t>
  </si>
  <si>
    <t>ت</t>
  </si>
  <si>
    <t xml:space="preserve"> تے Iso</t>
  </si>
  <si>
    <t>Tay Iso</t>
  </si>
  <si>
    <t>ـت</t>
  </si>
  <si>
    <t xml:space="preserve"> تے L</t>
  </si>
  <si>
    <t>Tay L</t>
  </si>
  <si>
    <t>ـتـ</t>
  </si>
  <si>
    <t xml:space="preserve"> تے m</t>
  </si>
  <si>
    <t>Tay m</t>
  </si>
  <si>
    <t>تـ</t>
  </si>
  <si>
    <t xml:space="preserve"> تے i</t>
  </si>
  <si>
    <t>Tay i</t>
  </si>
  <si>
    <t>ٹ</t>
  </si>
  <si>
    <t xml:space="preserve"> ٹے Iso</t>
  </si>
  <si>
    <t>Ttay Iso</t>
  </si>
  <si>
    <t>ـٹ</t>
  </si>
  <si>
    <t xml:space="preserve"> ٹے L</t>
  </si>
  <si>
    <t>Ttay L</t>
  </si>
  <si>
    <t>ـٹـ</t>
  </si>
  <si>
    <t xml:space="preserve"> ٹے m</t>
  </si>
  <si>
    <t>Ttay m</t>
  </si>
  <si>
    <t>ٹـ</t>
  </si>
  <si>
    <t xml:space="preserve"> ٹے i</t>
  </si>
  <si>
    <t>Ttay i</t>
  </si>
  <si>
    <t>ث</t>
  </si>
  <si>
    <t xml:space="preserve"> ثے Iso</t>
  </si>
  <si>
    <t>Say Iso</t>
  </si>
  <si>
    <t>ـث</t>
  </si>
  <si>
    <t xml:space="preserve"> ثے L</t>
  </si>
  <si>
    <t>Say L</t>
  </si>
  <si>
    <t>ـثـ</t>
  </si>
  <si>
    <t xml:space="preserve"> ثے m</t>
  </si>
  <si>
    <t>Say m</t>
  </si>
  <si>
    <t>ثـ</t>
  </si>
  <si>
    <t xml:space="preserve"> ثے i</t>
  </si>
  <si>
    <t>Say i</t>
  </si>
  <si>
    <t>ج</t>
  </si>
  <si>
    <t xml:space="preserve"> جيم Iso</t>
  </si>
  <si>
    <t>Jeem Iso</t>
  </si>
  <si>
    <t>ـج</t>
  </si>
  <si>
    <t xml:space="preserve"> جيم L</t>
  </si>
  <si>
    <t>Jeem L</t>
  </si>
  <si>
    <t>ـجـ</t>
  </si>
  <si>
    <t xml:space="preserve"> جيم m</t>
  </si>
  <si>
    <t>Jeem m</t>
  </si>
  <si>
    <t>جـ</t>
  </si>
  <si>
    <t xml:space="preserve"> جيم i</t>
  </si>
  <si>
    <t>Jeem i</t>
  </si>
  <si>
    <t>چ</t>
  </si>
  <si>
    <t xml:space="preserve"> چے Iso</t>
  </si>
  <si>
    <t>Chay Iso</t>
  </si>
  <si>
    <t>ـچ</t>
  </si>
  <si>
    <t xml:space="preserve"> چے L</t>
  </si>
  <si>
    <t>Chay L</t>
  </si>
  <si>
    <t>ـچـ</t>
  </si>
  <si>
    <t xml:space="preserve"> چے m</t>
  </si>
  <si>
    <t>Chay m</t>
  </si>
  <si>
    <t>چـ</t>
  </si>
  <si>
    <t xml:space="preserve"> چے i</t>
  </si>
  <si>
    <t>Chay i</t>
  </si>
  <si>
    <t>ح</t>
  </si>
  <si>
    <t xml:space="preserve"> وڈّی حے Iso</t>
  </si>
  <si>
    <t>Hay Iso</t>
  </si>
  <si>
    <t>ـح</t>
  </si>
  <si>
    <t xml:space="preserve"> وڈّی حے L</t>
  </si>
  <si>
    <t>Hay L</t>
  </si>
  <si>
    <t>ـحـ</t>
  </si>
  <si>
    <t xml:space="preserve"> وڈّی حے m</t>
  </si>
  <si>
    <t>Hay m</t>
  </si>
  <si>
    <t>حـ</t>
  </si>
  <si>
    <t xml:space="preserve"> وڈّی حے i</t>
  </si>
  <si>
    <t>Hay i</t>
  </si>
  <si>
    <t>خ</t>
  </si>
  <si>
    <t xml:space="preserve"> خے Iso</t>
  </si>
  <si>
    <t>Khay Iso</t>
  </si>
  <si>
    <t>ـخ</t>
  </si>
  <si>
    <t xml:space="preserve"> خے L</t>
  </si>
  <si>
    <t>Khay L</t>
  </si>
  <si>
    <t>ـخـ</t>
  </si>
  <si>
    <t xml:space="preserve"> خے m</t>
  </si>
  <si>
    <t>Khay m</t>
  </si>
  <si>
    <t>خـ</t>
  </si>
  <si>
    <t xml:space="preserve"> خے i</t>
  </si>
  <si>
    <t>Khay i</t>
  </si>
  <si>
    <t>د</t>
  </si>
  <si>
    <t xml:space="preserve"> دال Iso</t>
  </si>
  <si>
    <t>Daal Iso</t>
  </si>
  <si>
    <t>ـد</t>
  </si>
  <si>
    <t xml:space="preserve"> دال L</t>
  </si>
  <si>
    <t>Daal L</t>
  </si>
  <si>
    <t>ڈ</t>
  </si>
  <si>
    <t xml:space="preserve"> ڈال Iso</t>
  </si>
  <si>
    <t>Ddaal Iso</t>
  </si>
  <si>
    <t>ـڈ</t>
  </si>
  <si>
    <t xml:space="preserve"> ڈال L</t>
  </si>
  <si>
    <t>Ddaal L</t>
  </si>
  <si>
    <t>ذ</t>
  </si>
  <si>
    <t xml:space="preserve"> ذال Iso</t>
  </si>
  <si>
    <t>Zaal Iso</t>
  </si>
  <si>
    <t>ـذ</t>
  </si>
  <si>
    <t xml:space="preserve"> ذال L</t>
  </si>
  <si>
    <t>Zaal L</t>
  </si>
  <si>
    <t>ر</t>
  </si>
  <si>
    <t xml:space="preserve"> رے Iso</t>
  </si>
  <si>
    <t>Ray Iso</t>
  </si>
  <si>
    <t>ـر</t>
  </si>
  <si>
    <t xml:space="preserve"> رے L</t>
  </si>
  <si>
    <t>Ray L</t>
  </si>
  <si>
    <t>ڑ</t>
  </si>
  <si>
    <t xml:space="preserve"> ڑے Iso</t>
  </si>
  <si>
    <t>Rray Iso</t>
  </si>
  <si>
    <t>ـڑ</t>
  </si>
  <si>
    <t xml:space="preserve"> ڑے L</t>
  </si>
  <si>
    <t>Rray L</t>
  </si>
  <si>
    <t>ز</t>
  </si>
  <si>
    <t xml:space="preserve"> زے Iso</t>
  </si>
  <si>
    <t>Zay Iso</t>
  </si>
  <si>
    <t>ـز</t>
  </si>
  <si>
    <t xml:space="preserve"> زے L</t>
  </si>
  <si>
    <t>Zay L</t>
  </si>
  <si>
    <t>ژ</t>
  </si>
  <si>
    <t xml:space="preserve"> ژے Iso</t>
  </si>
  <si>
    <t>Zyay Iso</t>
  </si>
  <si>
    <t>ـژ</t>
  </si>
  <si>
    <t xml:space="preserve"> ژے L</t>
  </si>
  <si>
    <t>Zyay L</t>
  </si>
  <si>
    <t>س</t>
  </si>
  <si>
    <t xml:space="preserve"> سین Iso</t>
  </si>
  <si>
    <t>Seen Iso</t>
  </si>
  <si>
    <t>ـس</t>
  </si>
  <si>
    <t xml:space="preserve"> سین L</t>
  </si>
  <si>
    <t>Seen L</t>
  </si>
  <si>
    <t>ـسـ</t>
  </si>
  <si>
    <t xml:space="preserve"> سین m</t>
  </si>
  <si>
    <t>Seen m</t>
  </si>
  <si>
    <t>سـ</t>
  </si>
  <si>
    <t xml:space="preserve"> سین i</t>
  </si>
  <si>
    <t>Seen i</t>
  </si>
  <si>
    <t>ش</t>
  </si>
  <si>
    <t xml:space="preserve"> شین Iso</t>
  </si>
  <si>
    <t>Sheen Iso</t>
  </si>
  <si>
    <t>ـش</t>
  </si>
  <si>
    <t xml:space="preserve"> شین L</t>
  </si>
  <si>
    <t>Sheen L</t>
  </si>
  <si>
    <t>ـشـ</t>
  </si>
  <si>
    <t xml:space="preserve"> شین m</t>
  </si>
  <si>
    <t>Sheen m</t>
  </si>
  <si>
    <t>شـ</t>
  </si>
  <si>
    <t xml:space="preserve"> شین i</t>
  </si>
  <si>
    <t>Sheen i</t>
  </si>
  <si>
    <t>ص</t>
  </si>
  <si>
    <t xml:space="preserve"> صاد Iso</t>
  </si>
  <si>
    <t>Suad Iso</t>
  </si>
  <si>
    <t>ـص</t>
  </si>
  <si>
    <t xml:space="preserve"> صاد L</t>
  </si>
  <si>
    <t>Suad L</t>
  </si>
  <si>
    <t>ـصـ</t>
  </si>
  <si>
    <t xml:space="preserve"> صاد m</t>
  </si>
  <si>
    <t>Suad m</t>
  </si>
  <si>
    <t>صـ</t>
  </si>
  <si>
    <t xml:space="preserve"> صاد i</t>
  </si>
  <si>
    <t>Suad i</t>
  </si>
  <si>
    <t>ض</t>
  </si>
  <si>
    <t xml:space="preserve"> ضاد Iso</t>
  </si>
  <si>
    <t>Zuad Iso</t>
  </si>
  <si>
    <t>ـض</t>
  </si>
  <si>
    <t xml:space="preserve"> ضاد L</t>
  </si>
  <si>
    <t>Zuad L</t>
  </si>
  <si>
    <t>ـضـ</t>
  </si>
  <si>
    <t xml:space="preserve"> ضاد m</t>
  </si>
  <si>
    <t>Zuad m</t>
  </si>
  <si>
    <t>ضـ</t>
  </si>
  <si>
    <t xml:space="preserve"> ضاد i</t>
  </si>
  <si>
    <t>Zuad i</t>
  </si>
  <si>
    <t>ط</t>
  </si>
  <si>
    <t xml:space="preserve"> طوئیں Iso</t>
  </si>
  <si>
    <t>Tonain Iso</t>
  </si>
  <si>
    <t>ـط</t>
  </si>
  <si>
    <t xml:space="preserve"> طوئیں L</t>
  </si>
  <si>
    <t>Tonain L</t>
  </si>
  <si>
    <t>ـطـ</t>
  </si>
  <si>
    <t xml:space="preserve"> طوئیں m</t>
  </si>
  <si>
    <t>Tonain m</t>
  </si>
  <si>
    <t>طـ</t>
  </si>
  <si>
    <t xml:space="preserve"> طوئیں i</t>
  </si>
  <si>
    <t>Tonain i</t>
  </si>
  <si>
    <t>ظ</t>
  </si>
  <si>
    <t xml:space="preserve"> ظوئیں Iso</t>
  </si>
  <si>
    <t>Zonain Iso</t>
  </si>
  <si>
    <t>ـظ</t>
  </si>
  <si>
    <t xml:space="preserve"> ظوئیں L</t>
  </si>
  <si>
    <t>Zonain L</t>
  </si>
  <si>
    <t>ـظـ</t>
  </si>
  <si>
    <t xml:space="preserve"> ظوئیں m</t>
  </si>
  <si>
    <t>Zonain m</t>
  </si>
  <si>
    <t>ظـ</t>
  </si>
  <si>
    <t xml:space="preserve"> ظوئیں i</t>
  </si>
  <si>
    <t>Zonain i</t>
  </si>
  <si>
    <t>ع</t>
  </si>
  <si>
    <t xml:space="preserve"> عین Iso</t>
  </si>
  <si>
    <t>Eain Iso</t>
  </si>
  <si>
    <t>ـع</t>
  </si>
  <si>
    <t xml:space="preserve"> عین L</t>
  </si>
  <si>
    <t>Eain L</t>
  </si>
  <si>
    <t>ـعـ</t>
  </si>
  <si>
    <t xml:space="preserve"> عین m</t>
  </si>
  <si>
    <t>Eain m</t>
  </si>
  <si>
    <t>عـ</t>
  </si>
  <si>
    <t xml:space="preserve"> عین i</t>
  </si>
  <si>
    <t>Eain i</t>
  </si>
  <si>
    <t>غ</t>
  </si>
  <si>
    <t xml:space="preserve"> غین Iso</t>
  </si>
  <si>
    <t>Ghain Iso</t>
  </si>
  <si>
    <t>ـغ</t>
  </si>
  <si>
    <t xml:space="preserve"> غین L</t>
  </si>
  <si>
    <t>Ghain L</t>
  </si>
  <si>
    <t>ـغـ</t>
  </si>
  <si>
    <t xml:space="preserve"> غین m</t>
  </si>
  <si>
    <t>Ghain m</t>
  </si>
  <si>
    <t>غـ</t>
  </si>
  <si>
    <t xml:space="preserve"> غین i</t>
  </si>
  <si>
    <t>Ghain i</t>
  </si>
  <si>
    <t>ف</t>
  </si>
  <si>
    <t xml:space="preserve"> فے Iso</t>
  </si>
  <si>
    <t>Fay Iso</t>
  </si>
  <si>
    <t>ـف</t>
  </si>
  <si>
    <t xml:space="preserve"> فے L</t>
  </si>
  <si>
    <t>Fay L</t>
  </si>
  <si>
    <t>ـفـ</t>
  </si>
  <si>
    <t xml:space="preserve"> فے m</t>
  </si>
  <si>
    <t>Fay m</t>
  </si>
  <si>
    <t>فـ</t>
  </si>
  <si>
    <t xml:space="preserve"> فے i</t>
  </si>
  <si>
    <t>Fay i</t>
  </si>
  <si>
    <t>ق</t>
  </si>
  <si>
    <t xml:space="preserve"> قاف Iso</t>
  </si>
  <si>
    <t>Qaaf Iso</t>
  </si>
  <si>
    <t>ـق</t>
  </si>
  <si>
    <t xml:space="preserve"> قاف L</t>
  </si>
  <si>
    <t>Qaaf L</t>
  </si>
  <si>
    <t>ـقـ</t>
  </si>
  <si>
    <t xml:space="preserve"> قاف m</t>
  </si>
  <si>
    <t>Qaaf m</t>
  </si>
  <si>
    <t>قـ</t>
  </si>
  <si>
    <t xml:space="preserve"> قاف i</t>
  </si>
  <si>
    <t>Qaaf i</t>
  </si>
  <si>
    <t>ک</t>
  </si>
  <si>
    <t xml:space="preserve"> کاف Iso</t>
  </si>
  <si>
    <t>Kaaf Iso</t>
  </si>
  <si>
    <t>ـک</t>
  </si>
  <si>
    <t xml:space="preserve"> کاف L</t>
  </si>
  <si>
    <t>Kaaf L</t>
  </si>
  <si>
    <t>ـکـ</t>
  </si>
  <si>
    <t xml:space="preserve"> کاف m</t>
  </si>
  <si>
    <t>Kaaf m</t>
  </si>
  <si>
    <t>کـ</t>
  </si>
  <si>
    <t xml:space="preserve"> کاف i</t>
  </si>
  <si>
    <t>Kaaf i</t>
  </si>
  <si>
    <t>گ</t>
  </si>
  <si>
    <t xml:space="preserve"> گاف Iso</t>
  </si>
  <si>
    <t>Gaaf Iso</t>
  </si>
  <si>
    <t>ـگ</t>
  </si>
  <si>
    <t xml:space="preserve"> گاف L</t>
  </si>
  <si>
    <t>Gaaf L</t>
  </si>
  <si>
    <t>ـگـ</t>
  </si>
  <si>
    <t xml:space="preserve"> گاف m</t>
  </si>
  <si>
    <t>Gaaf m</t>
  </si>
  <si>
    <t>گـ</t>
  </si>
  <si>
    <t xml:space="preserve"> گاف i</t>
  </si>
  <si>
    <t>Gaaf i</t>
  </si>
  <si>
    <t>ل</t>
  </si>
  <si>
    <t xml:space="preserve"> لام Iso</t>
  </si>
  <si>
    <t>Laam Iso</t>
  </si>
  <si>
    <t>ـل</t>
  </si>
  <si>
    <t xml:space="preserve"> لام L</t>
  </si>
  <si>
    <t>Laam L</t>
  </si>
  <si>
    <t>ـلـ</t>
  </si>
  <si>
    <t xml:space="preserve"> لام m</t>
  </si>
  <si>
    <t>Laam m</t>
  </si>
  <si>
    <t>لـ</t>
  </si>
  <si>
    <t xml:space="preserve"> لام i</t>
  </si>
  <si>
    <t>Laam i</t>
  </si>
  <si>
    <t>لؕ</t>
  </si>
  <si>
    <t xml:space="preserve"> اڑلام Iso</t>
  </si>
  <si>
    <t>Rlaam Iso</t>
  </si>
  <si>
    <t>ـلؕ</t>
  </si>
  <si>
    <t xml:space="preserve"> اڑلام L</t>
  </si>
  <si>
    <t>Rlaam L</t>
  </si>
  <si>
    <t>ـلؕـ</t>
  </si>
  <si>
    <t xml:space="preserve"> اڑلام m</t>
  </si>
  <si>
    <t>Rlaam m</t>
  </si>
  <si>
    <t>لؕـ</t>
  </si>
  <si>
    <t xml:space="preserve"> اڑلام i</t>
  </si>
  <si>
    <t>Rlaam i</t>
  </si>
  <si>
    <t>م</t>
  </si>
  <si>
    <t xml:space="preserve"> میم Iso</t>
  </si>
  <si>
    <t>Meem Iso</t>
  </si>
  <si>
    <t>ـم</t>
  </si>
  <si>
    <t xml:space="preserve"> میم L</t>
  </si>
  <si>
    <t>Meem L</t>
  </si>
  <si>
    <t>ـمـ</t>
  </si>
  <si>
    <t xml:space="preserve"> میم m</t>
  </si>
  <si>
    <t>Meem m</t>
  </si>
  <si>
    <t>مـ</t>
  </si>
  <si>
    <t xml:space="preserve"> میم i</t>
  </si>
  <si>
    <t>Meem i</t>
  </si>
  <si>
    <t>ن</t>
  </si>
  <si>
    <t xml:space="preserve"> نون Iso</t>
  </si>
  <si>
    <t>Noon Iso</t>
  </si>
  <si>
    <t>ـن</t>
  </si>
  <si>
    <t xml:space="preserve"> نون L</t>
  </si>
  <si>
    <t>Noon L</t>
  </si>
  <si>
    <t>ـنـ</t>
  </si>
  <si>
    <t xml:space="preserve"> نون m</t>
  </si>
  <si>
    <t>Noon m</t>
  </si>
  <si>
    <t>نـ</t>
  </si>
  <si>
    <t xml:space="preserve"> نون i</t>
  </si>
  <si>
    <t>Noon i</t>
  </si>
  <si>
    <t>ݨ</t>
  </si>
  <si>
    <t xml:space="preserve"> اڑنون Iso</t>
  </si>
  <si>
    <t>Rnoon Iso</t>
  </si>
  <si>
    <t>ـݨ</t>
  </si>
  <si>
    <t xml:space="preserve"> اڑنون L</t>
  </si>
  <si>
    <t>Rnoon L</t>
  </si>
  <si>
    <t>ـݨـ</t>
  </si>
  <si>
    <t xml:space="preserve"> اڑنون m</t>
  </si>
  <si>
    <t>Rnoon m</t>
  </si>
  <si>
    <t>ݨـ</t>
  </si>
  <si>
    <t xml:space="preserve"> اڑنون i</t>
  </si>
  <si>
    <t>Rnoon i</t>
  </si>
  <si>
    <t>ں</t>
  </si>
  <si>
    <t xml:space="preserve"> نون غنّہ Iso</t>
  </si>
  <si>
    <t>NoonG Iso</t>
  </si>
  <si>
    <t>ـں</t>
  </si>
  <si>
    <t xml:space="preserve"> نون غنّہ L</t>
  </si>
  <si>
    <t>NoonG L</t>
  </si>
  <si>
    <t>ـن٘ـ</t>
  </si>
  <si>
    <t xml:space="preserve"> نون غنّہ m</t>
  </si>
  <si>
    <t>NoonG m</t>
  </si>
  <si>
    <t>ن٘ـ</t>
  </si>
  <si>
    <t xml:space="preserve"> نون غنّہ i</t>
  </si>
  <si>
    <t>NoonG i</t>
  </si>
  <si>
    <t>و</t>
  </si>
  <si>
    <t xml:space="preserve"> واؤ Iso</t>
  </si>
  <si>
    <t>Wao Iso</t>
  </si>
  <si>
    <t>ـو</t>
  </si>
  <si>
    <t xml:space="preserve"> واؤ L</t>
  </si>
  <si>
    <t>Wao L</t>
  </si>
  <si>
    <t>ہ</t>
  </si>
  <si>
    <t xml:space="preserve"> نکی ہے Iso</t>
  </si>
  <si>
    <t>Niki Hay Iso</t>
  </si>
  <si>
    <t>ـہ</t>
  </si>
  <si>
    <t xml:space="preserve"> نکی ہے L</t>
  </si>
  <si>
    <t>Niki Hay L</t>
  </si>
  <si>
    <t>ـہـ</t>
  </si>
  <si>
    <t xml:space="preserve"> نکی ہے m</t>
  </si>
  <si>
    <t>Niki Hay m</t>
  </si>
  <si>
    <t>ہـ</t>
  </si>
  <si>
    <t xml:space="preserve"> نکی ہے i</t>
  </si>
  <si>
    <t>Niki Hay i</t>
  </si>
  <si>
    <t>ھ</t>
  </si>
  <si>
    <t xml:space="preserve"> دو چشمی ہے Iso</t>
  </si>
  <si>
    <t>DC Hay Iso</t>
  </si>
  <si>
    <t>ـھ</t>
  </si>
  <si>
    <t xml:space="preserve"> دو چشمی ہے L</t>
  </si>
  <si>
    <t>DC Hay L</t>
  </si>
  <si>
    <t>ـھـ</t>
  </si>
  <si>
    <t xml:space="preserve"> دو چشمی ہے m</t>
  </si>
  <si>
    <t>DC Hay m</t>
  </si>
  <si>
    <t>ھـ</t>
  </si>
  <si>
    <t xml:space="preserve"> دو چشمی ہے i</t>
  </si>
  <si>
    <t>DC Hay i</t>
  </si>
  <si>
    <t>ء</t>
  </si>
  <si>
    <t xml:space="preserve"> ہمزہ Iso</t>
  </si>
  <si>
    <t>Hamzah Iso</t>
  </si>
  <si>
    <t>ی</t>
  </si>
  <si>
    <t xml:space="preserve"> چھوٹی يے Iso</t>
  </si>
  <si>
    <t>ChYeh Iso</t>
  </si>
  <si>
    <t>ـی</t>
  </si>
  <si>
    <t xml:space="preserve"> چھوٹی يے L</t>
  </si>
  <si>
    <t>ChYeh L</t>
  </si>
  <si>
    <t>ـیـ</t>
  </si>
  <si>
    <t xml:space="preserve"> چھوٹی يے m</t>
  </si>
  <si>
    <t>ChYeh m</t>
  </si>
  <si>
    <t>یـ</t>
  </si>
  <si>
    <t xml:space="preserve"> چھوٹی يے i</t>
  </si>
  <si>
    <t>ChYeh i</t>
  </si>
  <si>
    <t>ے</t>
  </si>
  <si>
    <t xml:space="preserve"> وڈّی يے Iso</t>
  </si>
  <si>
    <t>WdYeh Iso</t>
  </si>
  <si>
    <t>ـے</t>
  </si>
  <si>
    <t xml:space="preserve"> وڈّی يے L</t>
  </si>
  <si>
    <t>WdYeh L</t>
  </si>
  <si>
    <t>بھ</t>
  </si>
  <si>
    <t xml:space="preserve"> بھے Iso</t>
  </si>
  <si>
    <t>Bhe Iso</t>
  </si>
  <si>
    <t>Diagraph</t>
  </si>
  <si>
    <t>ـبھ</t>
  </si>
  <si>
    <t xml:space="preserve"> بھے L</t>
  </si>
  <si>
    <t>Bhe L</t>
  </si>
  <si>
    <t>ـبھـ</t>
  </si>
  <si>
    <t xml:space="preserve"> بھے m</t>
  </si>
  <si>
    <t>Bhe m</t>
  </si>
  <si>
    <t>بھـ</t>
  </si>
  <si>
    <t xml:space="preserve"> بھے i</t>
  </si>
  <si>
    <t>Bhe i</t>
  </si>
  <si>
    <t>پھ</t>
  </si>
  <si>
    <t xml:space="preserve"> پھے Iso</t>
  </si>
  <si>
    <t>Phe Iso</t>
  </si>
  <si>
    <t>ـپھ</t>
  </si>
  <si>
    <t xml:space="preserve"> پھے L</t>
  </si>
  <si>
    <t>Phe L</t>
  </si>
  <si>
    <t>ـپھـ</t>
  </si>
  <si>
    <t xml:space="preserve"> پھے m</t>
  </si>
  <si>
    <t>Phe m</t>
  </si>
  <si>
    <t>پھـ</t>
  </si>
  <si>
    <t xml:space="preserve"> پھے i</t>
  </si>
  <si>
    <t>Phe i</t>
  </si>
  <si>
    <t>تھ</t>
  </si>
  <si>
    <t xml:space="preserve"> تھے Iso</t>
  </si>
  <si>
    <t>The Iso</t>
  </si>
  <si>
    <t>ـتھ</t>
  </si>
  <si>
    <t xml:space="preserve"> تھے L</t>
  </si>
  <si>
    <t>The L</t>
  </si>
  <si>
    <t>ـتھـ</t>
  </si>
  <si>
    <t xml:space="preserve"> تھے m</t>
  </si>
  <si>
    <t>The m</t>
  </si>
  <si>
    <t>تھـ</t>
  </si>
  <si>
    <t xml:space="preserve"> تھے i</t>
  </si>
  <si>
    <t>The i</t>
  </si>
  <si>
    <t>ٹھ</t>
  </si>
  <si>
    <t xml:space="preserve"> ٹھے Iso</t>
  </si>
  <si>
    <t>Tthe Iso</t>
  </si>
  <si>
    <t>ـٹھ</t>
  </si>
  <si>
    <t xml:space="preserve"> ٹھے L</t>
  </si>
  <si>
    <t>Tthe L</t>
  </si>
  <si>
    <t>ـٹھـ</t>
  </si>
  <si>
    <t xml:space="preserve"> ٹھے m</t>
  </si>
  <si>
    <t>Tthe m</t>
  </si>
  <si>
    <t>ٹھـ</t>
  </si>
  <si>
    <t xml:space="preserve"> ٹھے i</t>
  </si>
  <si>
    <t>Tthe i</t>
  </si>
  <si>
    <t>جھ</t>
  </si>
  <si>
    <t>جھے Iso</t>
  </si>
  <si>
    <t>Jhe Iso</t>
  </si>
  <si>
    <t>ـجھ</t>
  </si>
  <si>
    <t>جھے L</t>
  </si>
  <si>
    <t>Jhe L</t>
  </si>
  <si>
    <t>ـجھـ</t>
  </si>
  <si>
    <t>جھے m</t>
  </si>
  <si>
    <t>Jhe m</t>
  </si>
  <si>
    <t>جھـ</t>
  </si>
  <si>
    <t>جھے i</t>
  </si>
  <si>
    <t>Jhe i</t>
  </si>
  <si>
    <t>چھ</t>
  </si>
  <si>
    <t xml:space="preserve"> چھے Iso</t>
  </si>
  <si>
    <t>Che Iso</t>
  </si>
  <si>
    <t>ـچھ</t>
  </si>
  <si>
    <t xml:space="preserve"> چھے L</t>
  </si>
  <si>
    <t>Che L</t>
  </si>
  <si>
    <t>ـچھـ</t>
  </si>
  <si>
    <t xml:space="preserve"> چھے m</t>
  </si>
  <si>
    <t>Che m</t>
  </si>
  <si>
    <t>چھـ</t>
  </si>
  <si>
    <t xml:space="preserve"> چھے i</t>
  </si>
  <si>
    <t>Che i</t>
  </si>
  <si>
    <t>دھ</t>
  </si>
  <si>
    <t xml:space="preserve"> دھال Iso</t>
  </si>
  <si>
    <t>Dhe Iso</t>
  </si>
  <si>
    <t>ـدھ</t>
  </si>
  <si>
    <t xml:space="preserve"> دھال L</t>
  </si>
  <si>
    <t>Dhe L</t>
  </si>
  <si>
    <t>ـدھـ</t>
  </si>
  <si>
    <t xml:space="preserve"> دھال m</t>
  </si>
  <si>
    <t>Dhe m</t>
  </si>
  <si>
    <t>دھـ</t>
  </si>
  <si>
    <t xml:space="preserve"> دھال i</t>
  </si>
  <si>
    <t>Dhe i</t>
  </si>
  <si>
    <t>ڈھ</t>
  </si>
  <si>
    <t xml:space="preserve"> ڈھال Iso</t>
  </si>
  <si>
    <t>Dhaal Iso</t>
  </si>
  <si>
    <t>ـڈھ</t>
  </si>
  <si>
    <t xml:space="preserve"> ڈھال L</t>
  </si>
  <si>
    <t>Dhaal L</t>
  </si>
  <si>
    <t>ـڈھـ</t>
  </si>
  <si>
    <t xml:space="preserve"> ڈھال m</t>
  </si>
  <si>
    <t>Dhaal m</t>
  </si>
  <si>
    <t>ڈھـ</t>
  </si>
  <si>
    <t xml:space="preserve"> ڈھال i</t>
  </si>
  <si>
    <t>Dhaal i</t>
  </si>
  <si>
    <t>رھ</t>
  </si>
  <si>
    <t xml:space="preserve"> رھے Iso</t>
  </si>
  <si>
    <t>Reh Iso</t>
  </si>
  <si>
    <t>ـرھ</t>
  </si>
  <si>
    <t xml:space="preserve"> رھے L</t>
  </si>
  <si>
    <t>Reh L</t>
  </si>
  <si>
    <t>ـرھـ</t>
  </si>
  <si>
    <t xml:space="preserve"> رھے m</t>
  </si>
  <si>
    <t>Reh m</t>
  </si>
  <si>
    <t>رھـ</t>
  </si>
  <si>
    <t xml:space="preserve"> رھے i</t>
  </si>
  <si>
    <t>Reh i</t>
  </si>
  <si>
    <t>ڑھ</t>
  </si>
  <si>
    <t xml:space="preserve"> ڑھے Iso</t>
  </si>
  <si>
    <t>Rreh Iso</t>
  </si>
  <si>
    <t>ـڑھ</t>
  </si>
  <si>
    <t xml:space="preserve"> ڑھے L</t>
  </si>
  <si>
    <t>Rreh L</t>
  </si>
  <si>
    <t>ـڑھـ</t>
  </si>
  <si>
    <t xml:space="preserve"> ڑھے m</t>
  </si>
  <si>
    <t>Rreh m</t>
  </si>
  <si>
    <t>ڑھـ</t>
  </si>
  <si>
    <t xml:space="preserve"> ڑھے i</t>
  </si>
  <si>
    <t>Rreh i</t>
  </si>
  <si>
    <t>کھ</t>
  </si>
  <si>
    <t xml:space="preserve"> کھے Iso</t>
  </si>
  <si>
    <t>Kheh Iso</t>
  </si>
  <si>
    <t>ـکھ</t>
  </si>
  <si>
    <t xml:space="preserve"> کھے L</t>
  </si>
  <si>
    <t>Kheh L</t>
  </si>
  <si>
    <t>ـکھـ</t>
  </si>
  <si>
    <t xml:space="preserve"> کھے m</t>
  </si>
  <si>
    <t>Kheh m</t>
  </si>
  <si>
    <t>کھـ</t>
  </si>
  <si>
    <t xml:space="preserve"> کھے i</t>
  </si>
  <si>
    <t>Kheh i</t>
  </si>
  <si>
    <t>گھ</t>
  </si>
  <si>
    <t xml:space="preserve"> گھے Iso</t>
  </si>
  <si>
    <t>Gheh Iso</t>
  </si>
  <si>
    <t>ـگھ</t>
  </si>
  <si>
    <t xml:space="preserve"> گھے L</t>
  </si>
  <si>
    <t>Gheh L</t>
  </si>
  <si>
    <t>ـگھـ</t>
  </si>
  <si>
    <t xml:space="preserve"> گھے m</t>
  </si>
  <si>
    <t>Gheh m</t>
  </si>
  <si>
    <t>گھـ</t>
  </si>
  <si>
    <t xml:space="preserve"> گھے i</t>
  </si>
  <si>
    <t>Gheh i</t>
  </si>
  <si>
    <t>لھ</t>
  </si>
  <si>
    <t xml:space="preserve"> لھے Iso</t>
  </si>
  <si>
    <t>Leh Iso</t>
  </si>
  <si>
    <t>ـلھ</t>
  </si>
  <si>
    <t xml:space="preserve"> لھے L</t>
  </si>
  <si>
    <t>Leh L</t>
  </si>
  <si>
    <t>ـلھـ</t>
  </si>
  <si>
    <t xml:space="preserve"> لھے m</t>
  </si>
  <si>
    <t>Leh m</t>
  </si>
  <si>
    <t>لھـ</t>
  </si>
  <si>
    <t xml:space="preserve"> لھے i</t>
  </si>
  <si>
    <t>Leh i</t>
  </si>
  <si>
    <t>مھ</t>
  </si>
  <si>
    <t xml:space="preserve"> مھے Iso</t>
  </si>
  <si>
    <t>Meh Iso</t>
  </si>
  <si>
    <t>ـمھ</t>
  </si>
  <si>
    <t xml:space="preserve"> مھے L</t>
  </si>
  <si>
    <t>Meh L</t>
  </si>
  <si>
    <t>ـمھـ</t>
  </si>
  <si>
    <t xml:space="preserve"> مھے m</t>
  </si>
  <si>
    <t>Meh m</t>
  </si>
  <si>
    <t>مھـ</t>
  </si>
  <si>
    <t xml:space="preserve"> مھے i</t>
  </si>
  <si>
    <t>Meh i</t>
  </si>
  <si>
    <t>نھ</t>
  </si>
  <si>
    <t xml:space="preserve"> نھے Iso</t>
  </si>
  <si>
    <t>Neh Iso</t>
  </si>
  <si>
    <t>ـنھ</t>
  </si>
  <si>
    <t xml:space="preserve"> نھے L</t>
  </si>
  <si>
    <t>Neh L</t>
  </si>
  <si>
    <t>ـنھـ</t>
  </si>
  <si>
    <t xml:space="preserve"> نھے m</t>
  </si>
  <si>
    <t>Neh m</t>
  </si>
  <si>
    <t>نھـ</t>
  </si>
  <si>
    <t xml:space="preserve"> نھے i</t>
  </si>
  <si>
    <t>Neh i</t>
  </si>
  <si>
    <t>وھ</t>
  </si>
  <si>
    <t xml:space="preserve"> وھے Iso</t>
  </si>
  <si>
    <t>Weh Iso</t>
  </si>
  <si>
    <t>ـوھ</t>
  </si>
  <si>
    <t xml:space="preserve"> وھے L</t>
  </si>
  <si>
    <t>Weh L</t>
  </si>
  <si>
    <t>ـوھـ</t>
  </si>
  <si>
    <t xml:space="preserve"> وھے m</t>
  </si>
  <si>
    <t>Weh m</t>
  </si>
  <si>
    <t>وھـ</t>
  </si>
  <si>
    <t xml:space="preserve"> وھے i</t>
  </si>
  <si>
    <t>Weh i</t>
  </si>
  <si>
    <t>یھ</t>
  </si>
  <si>
    <t xml:space="preserve"> یھے Iso</t>
  </si>
  <si>
    <t>Yeh Iso</t>
  </si>
  <si>
    <t>ـیھ</t>
  </si>
  <si>
    <t xml:space="preserve"> یھے L</t>
  </si>
  <si>
    <t>Yeh L</t>
  </si>
  <si>
    <t>ـیھـ</t>
  </si>
  <si>
    <t xml:space="preserve"> یھے m</t>
  </si>
  <si>
    <t>Yeh m</t>
  </si>
  <si>
    <t>یھـ</t>
  </si>
  <si>
    <t xml:space="preserve"> یھے i</t>
  </si>
  <si>
    <t>Yeh i</t>
  </si>
  <si>
    <t>ؕ</t>
  </si>
  <si>
    <t xml:space="preserve"> ط  مرتفع</t>
  </si>
  <si>
    <t xml:space="preserve">TonainM </t>
  </si>
  <si>
    <t>Diacritic</t>
  </si>
  <si>
    <t>ٓ</t>
  </si>
  <si>
    <t xml:space="preserve"> مد</t>
  </si>
  <si>
    <t xml:space="preserve">Mad </t>
  </si>
  <si>
    <t>٘</t>
  </si>
  <si>
    <t xml:space="preserve"> غنہ</t>
  </si>
  <si>
    <t xml:space="preserve">Ghunnah </t>
  </si>
  <si>
    <t>ً</t>
  </si>
  <si>
    <t xml:space="preserve"> فتحین</t>
  </si>
  <si>
    <t xml:space="preserve">Fataheen </t>
  </si>
  <si>
    <t>ٍ</t>
  </si>
  <si>
    <t xml:space="preserve"> کسرتین</t>
  </si>
  <si>
    <t xml:space="preserve">Kasrateen </t>
  </si>
  <si>
    <t>َ</t>
  </si>
  <si>
    <t xml:space="preserve"> زبر</t>
  </si>
  <si>
    <t xml:space="preserve">Zabar </t>
  </si>
  <si>
    <t>ُ</t>
  </si>
  <si>
    <t xml:space="preserve"> پیش</t>
  </si>
  <si>
    <t xml:space="preserve">Paish </t>
  </si>
  <si>
    <t>ِ</t>
  </si>
  <si>
    <t xml:space="preserve"> زیر</t>
  </si>
  <si>
    <t xml:space="preserve">Zear </t>
  </si>
  <si>
    <t>ّ</t>
  </si>
  <si>
    <t xml:space="preserve"> تشدید</t>
  </si>
  <si>
    <t xml:space="preserve">Tashdeed </t>
  </si>
  <si>
    <t>ٰ</t>
  </si>
  <si>
    <t xml:space="preserve"> کھڑا  الف</t>
  </si>
  <si>
    <t xml:space="preserve">Khara Alif </t>
  </si>
  <si>
    <t>◌ٔ</t>
  </si>
  <si>
    <t xml:space="preserve"> ہمزہ  مرتفع</t>
  </si>
  <si>
    <t xml:space="preserve">Hamzah M </t>
  </si>
  <si>
    <t>ـ</t>
  </si>
  <si>
    <t xml:space="preserve"> تتویل</t>
  </si>
  <si>
    <t xml:space="preserve">Tatweel </t>
  </si>
  <si>
    <t>Symbol</t>
  </si>
  <si>
    <t>!</t>
  </si>
  <si>
    <t xml:space="preserve"> استعجاب</t>
  </si>
  <si>
    <t xml:space="preserve">Astejab </t>
  </si>
  <si>
    <t>.</t>
  </si>
  <si>
    <t xml:space="preserve"> نقطہ</t>
  </si>
  <si>
    <t xml:space="preserve">Nuqta </t>
  </si>
  <si>
    <t>،</t>
  </si>
  <si>
    <t xml:space="preserve"> کومہ</t>
  </si>
  <si>
    <t xml:space="preserve">Koma </t>
  </si>
  <si>
    <t>,</t>
  </si>
  <si>
    <t xml:space="preserve"> کومہ ۲</t>
  </si>
  <si>
    <t xml:space="preserve">Koma2 </t>
  </si>
  <si>
    <t>؛</t>
  </si>
  <si>
    <t xml:space="preserve"> کچھ کومہ</t>
  </si>
  <si>
    <t xml:space="preserve">K Koma </t>
  </si>
  <si>
    <t>؟</t>
  </si>
  <si>
    <t xml:space="preserve"> سوالیہ نشان</t>
  </si>
  <si>
    <t xml:space="preserve">Sawaliyah </t>
  </si>
  <si>
    <t>۔</t>
  </si>
  <si>
    <t xml:space="preserve"> وقف</t>
  </si>
  <si>
    <t xml:space="preserve">Waqf </t>
  </si>
  <si>
    <t>٠</t>
  </si>
  <si>
    <t xml:space="preserve"> صفر</t>
  </si>
  <si>
    <t xml:space="preserve">Sifar </t>
  </si>
  <si>
    <t>Digit</t>
  </si>
  <si>
    <t>١</t>
  </si>
  <si>
    <t xml:space="preserve"> اک</t>
  </si>
  <si>
    <t xml:space="preserve">Ik </t>
  </si>
  <si>
    <t>٢</t>
  </si>
  <si>
    <t xml:space="preserve"> دو</t>
  </si>
  <si>
    <t xml:space="preserve">Do </t>
  </si>
  <si>
    <t>٣</t>
  </si>
  <si>
    <t xml:space="preserve"> تن</t>
  </si>
  <si>
    <t xml:space="preserve">Tin </t>
  </si>
  <si>
    <t>٤</t>
  </si>
  <si>
    <t xml:space="preserve"> چار</t>
  </si>
  <si>
    <t xml:space="preserve">Char </t>
  </si>
  <si>
    <t>٥</t>
  </si>
  <si>
    <t xml:space="preserve"> پنج</t>
  </si>
  <si>
    <t xml:space="preserve">Panj </t>
  </si>
  <si>
    <t>٦</t>
  </si>
  <si>
    <t xml:space="preserve"> چھ</t>
  </si>
  <si>
    <t xml:space="preserve">Cheyh </t>
  </si>
  <si>
    <t>٧</t>
  </si>
  <si>
    <t xml:space="preserve"> ست</t>
  </si>
  <si>
    <t xml:space="preserve">Sat </t>
  </si>
  <si>
    <t>٨</t>
  </si>
  <si>
    <t xml:space="preserve"> اٹھ</t>
  </si>
  <si>
    <t xml:space="preserve">Ath </t>
  </si>
  <si>
    <t>٩</t>
  </si>
  <si>
    <t xml:space="preserve"> نوں</t>
  </si>
  <si>
    <t xml:space="preserve">Naon </t>
  </si>
  <si>
    <t>Adobe Arabic</t>
  </si>
  <si>
    <t>Arabic Typesetting</t>
  </si>
  <si>
    <t>Bahij ASVCodar</t>
  </si>
  <si>
    <t>Bahij ASVCodar Bold</t>
  </si>
  <si>
    <t>Bahij Badiya</t>
  </si>
  <si>
    <t>Bahij Badr</t>
  </si>
  <si>
    <t>Bahij Badr Bold</t>
  </si>
  <si>
    <t>Bahij Fedra Arabic</t>
  </si>
  <si>
    <t>Bahij Jalal</t>
  </si>
  <si>
    <t>Bahij Jalal Bold</t>
  </si>
  <si>
    <t>Bahij Janna</t>
  </si>
  <si>
    <t>Bahij Janna Bold</t>
  </si>
  <si>
    <t>Bahij Koufiya</t>
  </si>
  <si>
    <t>Bahij Koufiya Bold</t>
  </si>
  <si>
    <t>Bahij Lotus</t>
  </si>
  <si>
    <t>Bahij Lotus Bold</t>
  </si>
  <si>
    <t>Bahij Mitra</t>
  </si>
  <si>
    <t>Bahij Muna Black</t>
  </si>
  <si>
    <t>Bahij Muna Bold</t>
  </si>
  <si>
    <t>Bahij Myriad Arabic</t>
  </si>
  <si>
    <t>Bahij Myriad Arabic Bold</t>
  </si>
  <si>
    <t>Harmattan</t>
  </si>
  <si>
    <t>Harmattan Bold</t>
  </si>
  <si>
    <t>Harmattan Medium</t>
  </si>
  <si>
    <t>Harmattan SemiBold</t>
  </si>
  <si>
    <t>Microsoft Uighur</t>
  </si>
  <si>
    <t>Microsoft Uighur Bold</t>
  </si>
  <si>
    <t>Noto Kufi Arabic</t>
  </si>
  <si>
    <t>Noto Kufi Arabic Black</t>
  </si>
  <si>
    <t>Noto Kufi Arabic Bold</t>
  </si>
  <si>
    <t>Noto Kufi Arabic ExtraBold</t>
  </si>
  <si>
    <t>Noto Kufi Arabic ExtraLight</t>
  </si>
  <si>
    <t>Noto Kufi Arabic Light</t>
  </si>
  <si>
    <t>Noto Kufi Arabic Medium</t>
  </si>
  <si>
    <t>Noto Kufi Arabic SemiBold</t>
  </si>
  <si>
    <t>Noto Kufi Arabic Thin</t>
  </si>
  <si>
    <t>Noto Naskh Arabic</t>
  </si>
  <si>
    <t>Noto Naskh Arabic Bold</t>
  </si>
  <si>
    <t>Noto Naskh Arabic Medium</t>
  </si>
  <si>
    <t>Noto Naskh Arabic SemiBold</t>
  </si>
  <si>
    <t>Noto Sans Arabic</t>
  </si>
  <si>
    <t>Noto Sans Arabic Light</t>
  </si>
  <si>
    <t>Scheherazade</t>
  </si>
  <si>
    <t>Scheherazade Bold</t>
  </si>
  <si>
    <t>Scheherazade New</t>
  </si>
  <si>
    <t>Scheherazade New Bold</t>
  </si>
  <si>
    <t>Scheherazade New Medium</t>
  </si>
  <si>
    <t>Scheherazade New SemiBold</t>
  </si>
  <si>
    <t>Truetypewriter PolyglOTT</t>
  </si>
  <si>
    <t>Ubuntu Arabic</t>
  </si>
  <si>
    <t>MATLAB Selected 50</t>
  </si>
  <si>
    <t>MAIN</t>
  </si>
  <si>
    <t>ROT</t>
  </si>
  <si>
    <t>BLUR</t>
  </si>
  <si>
    <t>IMG/ALPHA</t>
  </si>
  <si>
    <t>COMB</t>
  </si>
  <si>
    <t>OUT</t>
  </si>
  <si>
    <t>Factor</t>
  </si>
  <si>
    <t>IMAGE #</t>
  </si>
  <si>
    <t>VAR: IMAGE_LIST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</si>
</sst>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General"/>
    <numFmt numFmtId="165" formatCode="[$$-409]#,##0.00;[Red]&quot;-&quot;[$$-409]#,##0.00"/>
  </numFmts>
  <fonts count="31">
    <font>
      <sz val="11"/>
      <color theme="1"/>
      <name val="Arial"/>
      <charset val="134"/>
    </font>
    <font>
      <sz val="11"/>
      <color rgb="FF000000"/>
      <name val="Calibri"/>
      <family val="2"/>
    </font>
    <font>
      <sz val="20"/>
      <color rgb="FF202122"/>
      <name val="Calibri"/>
      <family val="2"/>
    </font>
    <font>
      <sz val="20"/>
      <color rgb="FF000000"/>
      <name val="Calibri"/>
      <family val="2"/>
    </font>
    <font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Mada Light"/>
    </font>
    <font>
      <b/>
      <sz val="16"/>
      <color rgb="FF000000"/>
      <name val="Calibri"/>
      <family val="2"/>
    </font>
    <font>
      <b/>
      <sz val="16"/>
      <color rgb="FF000000"/>
      <name val="Jaben Unicode"/>
    </font>
    <font>
      <b/>
      <sz val="16"/>
      <color rgb="FF000000"/>
      <name val="Mada Light"/>
    </font>
    <font>
      <b/>
      <sz val="11"/>
      <color rgb="FF000000"/>
      <name val="Jaben Unicode"/>
    </font>
    <font>
      <sz val="18"/>
      <color rgb="FF202122"/>
      <name val="Adobe Arabic"/>
      <family val="1"/>
    </font>
    <font>
      <sz val="11"/>
      <color rgb="FF000000"/>
      <name val="Times New Roman"/>
      <family val="1"/>
    </font>
    <font>
      <sz val="18"/>
      <color rgb="FF000000"/>
      <name val="Adobe Arabic"/>
      <family val="1"/>
    </font>
    <font>
      <sz val="20"/>
      <color rgb="FF202122"/>
      <name val="Bahij Muna Black"/>
      <family val="1"/>
    </font>
    <font>
      <b/>
      <sz val="11"/>
      <color rgb="FF000000"/>
      <name val="Calibri"/>
      <family val="2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8"/>
      <color rgb="FF000000"/>
      <name val="Adobe Arabic"/>
      <family val="1"/>
    </font>
    <font>
      <u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Tafseer"/>
      <charset val="178"/>
    </font>
    <font>
      <sz val="12"/>
      <color rgb="FF000000"/>
      <name val="Tafseer"/>
      <charset val="178"/>
    </font>
    <font>
      <b/>
      <sz val="9"/>
      <color rgb="FF000000"/>
      <name val="Jaben Unicode"/>
    </font>
    <font>
      <b/>
      <sz val="11"/>
      <color rgb="FF000000"/>
      <name val="Tafseer"/>
      <charset val="178"/>
    </font>
    <font>
      <b/>
      <sz val="11"/>
      <color theme="9" tint="-0.499984740745262"/>
      <name val="Tafseer"/>
      <charset val="178"/>
    </font>
    <font>
      <b/>
      <sz val="11"/>
      <color theme="8"/>
      <name val="Tafseer"/>
      <charset val="178"/>
    </font>
    <font>
      <b/>
      <sz val="11"/>
      <color theme="9" tint="-0.249977111117893"/>
      <name val="Tafseer"/>
      <charset val="178"/>
    </font>
    <font>
      <b/>
      <sz val="11"/>
      <color rgb="FF0070C0"/>
      <name val="Tafseer"/>
      <charset val="178"/>
    </font>
    <font>
      <b/>
      <sz val="11"/>
      <color theme="8" tint="-0.249977111117893"/>
      <name val="Tafseer"/>
      <charset val="178"/>
    </font>
    <font>
      <b/>
      <sz val="11"/>
      <color rgb="FF00B050"/>
      <name val="Tafseer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EEBF7"/>
        <bgColor rgb="FFDEEBF7"/>
      </patternFill>
    </fill>
    <fill>
      <patternFill patternType="solid">
        <fgColor rgb="FFE2F0D9"/>
        <bgColor rgb="FFE2F0D9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99FF"/>
        <bgColor indexed="64"/>
      </patternFill>
    </fill>
    <fill>
      <patternFill patternType="solid">
        <fgColor rgb="FFFF99FF"/>
        <bgColor rgb="FFDEEBF7"/>
      </patternFill>
    </fill>
    <fill>
      <patternFill patternType="solid">
        <fgColor rgb="FFFBE5D6"/>
        <bgColor rgb="FFFBE5D6"/>
      </patternFill>
    </fill>
    <fill>
      <patternFill patternType="solid">
        <fgColor rgb="FFFF99FF"/>
        <bgColor rgb="FFFF99F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164" fontId="1" fillId="0" borderId="0"/>
    <xf numFmtId="0" fontId="16" fillId="0" borderId="0">
      <alignment horizontal="center"/>
    </xf>
    <xf numFmtId="0" fontId="16" fillId="0" borderId="0">
      <alignment horizontal="center" textRotation="90"/>
    </xf>
    <xf numFmtId="0" fontId="17" fillId="0" borderId="0"/>
    <xf numFmtId="165" fontId="17" fillId="0" borderId="0"/>
  </cellStyleXfs>
  <cellXfs count="69">
    <xf numFmtId="0" fontId="0" fillId="0" borderId="0" xfId="0"/>
    <xf numFmtId="164" fontId="1" fillId="0" borderId="0" xfId="1"/>
    <xf numFmtId="164" fontId="4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164" fontId="4" fillId="0" borderId="0" xfId="1" applyFont="1" applyAlignment="1">
      <alignment horizontal="center"/>
    </xf>
    <xf numFmtId="164" fontId="6" fillId="0" borderId="0" xfId="1" applyFont="1"/>
    <xf numFmtId="164" fontId="10" fillId="0" borderId="1" xfId="1" applyFont="1" applyBorder="1" applyAlignment="1">
      <alignment horizontal="center" vertical="center"/>
    </xf>
    <xf numFmtId="164" fontId="1" fillId="2" borderId="0" xfId="1" applyFill="1"/>
    <xf numFmtId="164" fontId="7" fillId="0" borderId="1" xfId="1" applyFont="1" applyBorder="1" applyAlignment="1">
      <alignment horizontal="center" vertical="center"/>
    </xf>
    <xf numFmtId="164" fontId="8" fillId="2" borderId="1" xfId="1" applyFont="1" applyFill="1" applyBorder="1" applyAlignment="1">
      <alignment horizontal="center" vertical="center"/>
    </xf>
    <xf numFmtId="164" fontId="9" fillId="0" borderId="1" xfId="1" applyFont="1" applyBorder="1" applyAlignment="1">
      <alignment horizontal="center" vertical="center"/>
    </xf>
    <xf numFmtId="164" fontId="8" fillId="0" borderId="1" xfId="1" applyFont="1" applyBorder="1" applyAlignment="1">
      <alignment horizontal="center" vertical="center"/>
    </xf>
    <xf numFmtId="164" fontId="2" fillId="5" borderId="1" xfId="1" applyFont="1" applyFill="1" applyBorder="1" applyAlignment="1">
      <alignment horizontal="center" vertical="center" wrapText="1"/>
    </xf>
    <xf numFmtId="164" fontId="11" fillId="4" borderId="1" xfId="1" applyFont="1" applyFill="1" applyBorder="1" applyAlignment="1">
      <alignment horizontal="center" vertical="center"/>
    </xf>
    <xf numFmtId="164" fontId="6" fillId="4" borderId="1" xfId="1" applyFont="1" applyFill="1" applyBorder="1" applyAlignment="1">
      <alignment horizontal="center" vertical="center"/>
    </xf>
    <xf numFmtId="164" fontId="1" fillId="4" borderId="1" xfId="1" applyFill="1" applyBorder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2" fillId="0" borderId="1" xfId="1" applyFont="1" applyBorder="1" applyAlignment="1">
      <alignment horizontal="center" vertical="center" wrapText="1"/>
    </xf>
    <xf numFmtId="164" fontId="11" fillId="4" borderId="1" xfId="1" applyFont="1" applyFill="1" applyBorder="1" applyAlignment="1">
      <alignment horizontal="center" vertical="center" wrapText="1"/>
    </xf>
    <xf numFmtId="164" fontId="2" fillId="6" borderId="1" xfId="1" applyFont="1" applyFill="1" applyBorder="1" applyAlignment="1">
      <alignment horizontal="center" vertical="center" wrapText="1"/>
    </xf>
    <xf numFmtId="164" fontId="3" fillId="0" borderId="1" xfId="1" applyFont="1" applyBorder="1" applyAlignment="1">
      <alignment horizontal="center" vertical="center"/>
    </xf>
    <xf numFmtId="164" fontId="11" fillId="3" borderId="1" xfId="1" applyFont="1" applyFill="1" applyBorder="1" applyAlignment="1">
      <alignment horizontal="center" vertical="center" wrapText="1"/>
    </xf>
    <xf numFmtId="164" fontId="6" fillId="3" borderId="1" xfId="1" applyFont="1" applyFill="1" applyBorder="1" applyAlignment="1">
      <alignment horizontal="center" vertical="center"/>
    </xf>
    <xf numFmtId="164" fontId="1" fillId="3" borderId="1" xfId="1" applyFill="1" applyBorder="1" applyAlignment="1">
      <alignment horizontal="center" vertical="center"/>
    </xf>
    <xf numFmtId="164" fontId="3" fillId="5" borderId="1" xfId="1" applyFont="1" applyFill="1" applyBorder="1" applyAlignment="1">
      <alignment horizontal="center" vertical="center"/>
    </xf>
    <xf numFmtId="164" fontId="3" fillId="7" borderId="1" xfId="1" applyFont="1" applyFill="1" applyBorder="1" applyAlignment="1">
      <alignment horizontal="center" vertical="center"/>
    </xf>
    <xf numFmtId="164" fontId="11" fillId="8" borderId="1" xfId="1" applyFont="1" applyFill="1" applyBorder="1" applyAlignment="1">
      <alignment horizontal="center" vertical="center" wrapText="1"/>
    </xf>
    <xf numFmtId="164" fontId="6" fillId="8" borderId="1" xfId="1" applyFont="1" applyFill="1" applyBorder="1" applyAlignment="1">
      <alignment horizontal="center" vertical="center"/>
    </xf>
    <xf numFmtId="164" fontId="1" fillId="8" borderId="1" xfId="1" applyFill="1" applyBorder="1" applyAlignment="1">
      <alignment horizontal="center" vertical="center"/>
    </xf>
    <xf numFmtId="164" fontId="12" fillId="7" borderId="1" xfId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 wrapText="1"/>
    </xf>
    <xf numFmtId="164" fontId="13" fillId="4" borderId="1" xfId="1" applyFont="1" applyFill="1" applyBorder="1" applyAlignment="1">
      <alignment horizontal="center"/>
    </xf>
    <xf numFmtId="164" fontId="14" fillId="4" borderId="1" xfId="1" applyFont="1" applyFill="1" applyBorder="1" applyAlignment="1">
      <alignment horizontal="center" vertical="center" wrapText="1"/>
    </xf>
    <xf numFmtId="164" fontId="13" fillId="6" borderId="1" xfId="1" applyFont="1" applyFill="1" applyBorder="1" applyAlignment="1">
      <alignment horizontal="center"/>
    </xf>
    <xf numFmtId="164" fontId="6" fillId="6" borderId="1" xfId="1" applyFont="1" applyFill="1" applyBorder="1" applyAlignment="1">
      <alignment horizontal="center" vertical="center"/>
    </xf>
    <xf numFmtId="164" fontId="1" fillId="6" borderId="1" xfId="1" applyFill="1" applyBorder="1" applyAlignment="1">
      <alignment horizontal="center" vertical="center"/>
    </xf>
    <xf numFmtId="164" fontId="2" fillId="9" borderId="1" xfId="1" applyFont="1" applyFill="1" applyBorder="1" applyAlignment="1">
      <alignment horizontal="center" vertical="center" wrapText="1"/>
    </xf>
    <xf numFmtId="164" fontId="13" fillId="9" borderId="1" xfId="1" applyFont="1" applyFill="1" applyBorder="1" applyAlignment="1">
      <alignment horizontal="center"/>
    </xf>
    <xf numFmtId="164" fontId="6" fillId="9" borderId="1" xfId="1" applyFont="1" applyFill="1" applyBorder="1" applyAlignment="1">
      <alignment horizontal="center" vertical="center"/>
    </xf>
    <xf numFmtId="164" fontId="1" fillId="9" borderId="1" xfId="1" applyFill="1" applyBorder="1" applyAlignment="1">
      <alignment horizontal="center" vertical="center"/>
    </xf>
    <xf numFmtId="164" fontId="18" fillId="0" borderId="0" xfId="1" applyFont="1" applyAlignment="1">
      <alignment horizontal="center" vertical="center"/>
    </xf>
    <xf numFmtId="164" fontId="15" fillId="10" borderId="0" xfId="1" applyFont="1" applyFill="1" applyAlignment="1">
      <alignment horizontal="center" vertical="center"/>
    </xf>
    <xf numFmtId="164" fontId="20" fillId="10" borderId="0" xfId="1" applyFont="1" applyFill="1" applyAlignment="1">
      <alignment vertical="center"/>
    </xf>
    <xf numFmtId="164" fontId="19" fillId="10" borderId="0" xfId="1" applyFont="1" applyFill="1" applyAlignment="1">
      <alignment vertical="center"/>
    </xf>
    <xf numFmtId="164" fontId="22" fillId="0" borderId="1" xfId="1" applyFont="1" applyBorder="1" applyAlignment="1">
      <alignment horizontal="center" vertical="center"/>
    </xf>
    <xf numFmtId="164" fontId="21" fillId="0" borderId="2" xfId="1" applyFont="1" applyBorder="1" applyAlignment="1">
      <alignment horizontal="center" vertical="center"/>
    </xf>
    <xf numFmtId="164" fontId="21" fillId="0" borderId="3" xfId="1" applyFont="1" applyBorder="1" applyAlignment="1">
      <alignment horizontal="center" vertical="center"/>
    </xf>
    <xf numFmtId="164" fontId="21" fillId="0" borderId="1" xfId="1" applyFont="1" applyBorder="1" applyAlignment="1">
      <alignment horizontal="center" vertical="center"/>
    </xf>
    <xf numFmtId="164" fontId="23" fillId="0" borderId="1" xfId="1" applyFont="1" applyBorder="1" applyAlignment="1">
      <alignment horizontal="center" vertical="center"/>
    </xf>
    <xf numFmtId="164" fontId="21" fillId="11" borderId="1" xfId="1" applyFont="1" applyFill="1" applyBorder="1" applyAlignment="1">
      <alignment horizontal="center" vertical="center"/>
    </xf>
    <xf numFmtId="164" fontId="21" fillId="12" borderId="1" xfId="1" applyFont="1" applyFill="1" applyBorder="1" applyAlignment="1">
      <alignment horizontal="center" vertical="center"/>
    </xf>
    <xf numFmtId="164" fontId="21" fillId="13" borderId="1" xfId="1" applyFont="1" applyFill="1" applyBorder="1" applyAlignment="1">
      <alignment horizontal="center" vertical="center"/>
    </xf>
    <xf numFmtId="164" fontId="21" fillId="14" borderId="1" xfId="1" applyFont="1" applyFill="1" applyBorder="1" applyAlignment="1">
      <alignment horizontal="center" vertical="center"/>
    </xf>
    <xf numFmtId="164" fontId="1" fillId="12" borderId="0" xfId="1" applyFill="1"/>
    <xf numFmtId="164" fontId="21" fillId="12" borderId="2" xfId="1" applyFont="1" applyFill="1" applyBorder="1" applyAlignment="1">
      <alignment horizontal="center" vertical="center"/>
    </xf>
    <xf numFmtId="164" fontId="21" fillId="12" borderId="3" xfId="1" applyFont="1" applyFill="1" applyBorder="1" applyAlignment="1">
      <alignment horizontal="center" vertical="center"/>
    </xf>
    <xf numFmtId="164" fontId="24" fillId="11" borderId="1" xfId="1" applyFont="1" applyFill="1" applyBorder="1" applyAlignment="1">
      <alignment horizontal="center" vertical="center"/>
    </xf>
    <xf numFmtId="164" fontId="23" fillId="0" borderId="1" xfId="1" applyFont="1" applyBorder="1" applyAlignment="1">
      <alignment horizontal="center" vertical="center" wrapText="1"/>
    </xf>
    <xf numFmtId="164" fontId="21" fillId="12" borderId="2" xfId="1" applyFont="1" applyFill="1" applyBorder="1" applyAlignment="1">
      <alignment horizontal="center" vertical="center"/>
    </xf>
    <xf numFmtId="164" fontId="21" fillId="12" borderId="3" xfId="1" applyFont="1" applyFill="1" applyBorder="1" applyAlignment="1">
      <alignment horizontal="center" vertical="center"/>
    </xf>
    <xf numFmtId="164" fontId="21" fillId="0" borderId="2" xfId="1" applyFont="1" applyBorder="1" applyAlignment="1">
      <alignment horizontal="center" vertical="center"/>
    </xf>
    <xf numFmtId="164" fontId="21" fillId="0" borderId="3" xfId="1" applyFont="1" applyBorder="1" applyAlignment="1">
      <alignment horizontal="center" vertical="center"/>
    </xf>
    <xf numFmtId="164" fontId="24" fillId="12" borderId="1" xfId="1" applyFont="1" applyFill="1" applyBorder="1" applyAlignment="1">
      <alignment horizontal="center" vertical="center"/>
    </xf>
    <xf numFmtId="164" fontId="25" fillId="12" borderId="1" xfId="1" applyFont="1" applyFill="1" applyBorder="1" applyAlignment="1">
      <alignment horizontal="center" vertical="center"/>
    </xf>
    <xf numFmtId="164" fontId="26" fillId="12" borderId="1" xfId="1" applyFont="1" applyFill="1" applyBorder="1" applyAlignment="1">
      <alignment horizontal="center" vertical="center"/>
    </xf>
    <xf numFmtId="164" fontId="27" fillId="12" borderId="1" xfId="1" applyFont="1" applyFill="1" applyBorder="1" applyAlignment="1">
      <alignment horizontal="center" vertical="center"/>
    </xf>
    <xf numFmtId="164" fontId="28" fillId="12" borderId="1" xfId="1" applyFont="1" applyFill="1" applyBorder="1" applyAlignment="1">
      <alignment horizontal="center" vertical="center"/>
    </xf>
    <xf numFmtId="164" fontId="29" fillId="12" borderId="1" xfId="1" applyFont="1" applyFill="1" applyBorder="1" applyAlignment="1">
      <alignment horizontal="center" vertical="center"/>
    </xf>
    <xf numFmtId="164" fontId="30" fillId="12" borderId="1" xfId="1" applyFont="1" applyFill="1" applyBorder="1" applyAlignment="1">
      <alignment horizontal="center" vertical="center"/>
    </xf>
  </cellXfs>
  <cellStyles count="6">
    <cellStyle name="Excel Built-in Normal" xfId="1" xr:uid="{00000000-0005-0000-0000-000031000000}"/>
    <cellStyle name="Heading" xfId="2" xr:uid="{00000000-0005-0000-0000-000032000000}"/>
    <cellStyle name="Heading1" xfId="3" xr:uid="{00000000-0005-0000-0000-000033000000}"/>
    <cellStyle name="Normal" xfId="0" builtinId="0"/>
    <cellStyle name="Result" xfId="4" xr:uid="{00000000-0005-0000-0000-000034000000}"/>
    <cellStyle name="Result2" xfId="5" xr:uid="{00000000-0005-0000-0000-000035000000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R241"/>
  <sheetViews>
    <sheetView zoomScale="115" zoomScaleNormal="115" workbookViewId="0">
      <pane ySplit="1" topLeftCell="A5" activePane="bottomLeft" state="frozen"/>
      <selection pane="bottomLeft" activeCell="J1" sqref="J1:J1048576"/>
    </sheetView>
  </sheetViews>
  <sheetFormatPr defaultColWidth="9" defaultRowHeight="30" customHeight="1"/>
  <cols>
    <col min="1" max="1" width="8.75" style="1" customWidth="1"/>
    <col min="2" max="2" width="13.5" style="4" customWidth="1"/>
    <col min="3" max="3" width="13.125" style="5" customWidth="1"/>
    <col min="4" max="4" width="9.375" style="1" customWidth="1"/>
    <col min="5" max="5" width="4.625" style="1" customWidth="1"/>
    <col min="6" max="1006" width="8.125" style="1" customWidth="1"/>
  </cols>
  <sheetData>
    <row r="1" spans="1:10" ht="30" customHeight="1">
      <c r="A1" s="8" t="s">
        <v>0</v>
      </c>
      <c r="B1" s="9" t="s">
        <v>1</v>
      </c>
      <c r="C1" s="10" t="s">
        <v>2</v>
      </c>
      <c r="D1" s="11" t="s">
        <v>3</v>
      </c>
      <c r="E1" s="6" t="s">
        <v>4</v>
      </c>
    </row>
    <row r="2" spans="1:10" ht="30" customHeight="1">
      <c r="A2" s="12" t="s">
        <v>5</v>
      </c>
      <c r="B2" s="13" t="s">
        <v>6</v>
      </c>
      <c r="C2" s="14" t="s">
        <v>7</v>
      </c>
      <c r="D2" s="15" t="s">
        <v>8</v>
      </c>
      <c r="E2" s="16">
        <v>1</v>
      </c>
      <c r="J2" s="40"/>
    </row>
    <row r="3" spans="1:10" ht="30" customHeight="1">
      <c r="A3" s="12" t="s">
        <v>9</v>
      </c>
      <c r="B3" s="13" t="s">
        <v>10</v>
      </c>
      <c r="C3" s="14" t="s">
        <v>11</v>
      </c>
      <c r="D3" s="15" t="s">
        <v>8</v>
      </c>
      <c r="E3" s="16">
        <v>2</v>
      </c>
      <c r="J3" s="40"/>
    </row>
    <row r="4" spans="1:10" ht="30" customHeight="1">
      <c r="A4" s="12" t="s">
        <v>12</v>
      </c>
      <c r="B4" s="13" t="s">
        <v>13</v>
      </c>
      <c r="C4" s="14" t="s">
        <v>14</v>
      </c>
      <c r="D4" s="15" t="s">
        <v>8</v>
      </c>
      <c r="E4" s="16">
        <v>3</v>
      </c>
      <c r="J4" s="40"/>
    </row>
    <row r="5" spans="1:10" ht="30" customHeight="1">
      <c r="A5" s="12" t="s">
        <v>15</v>
      </c>
      <c r="B5" s="13" t="s">
        <v>16</v>
      </c>
      <c r="C5" s="14" t="s">
        <v>17</v>
      </c>
      <c r="D5" s="15" t="s">
        <v>8</v>
      </c>
      <c r="E5" s="16">
        <v>4</v>
      </c>
    </row>
    <row r="6" spans="1:10" s="2" customFormat="1" ht="30" customHeight="1">
      <c r="A6" s="17" t="s">
        <v>18</v>
      </c>
      <c r="B6" s="18" t="s">
        <v>19</v>
      </c>
      <c r="C6" s="14" t="s">
        <v>20</v>
      </c>
      <c r="D6" s="15" t="s">
        <v>8</v>
      </c>
      <c r="E6" s="16">
        <v>5</v>
      </c>
    </row>
    <row r="7" spans="1:10" s="2" customFormat="1" ht="30" customHeight="1">
      <c r="A7" s="17" t="s">
        <v>21</v>
      </c>
      <c r="B7" s="18" t="s">
        <v>22</v>
      </c>
      <c r="C7" s="14" t="s">
        <v>23</v>
      </c>
      <c r="D7" s="15" t="s">
        <v>8</v>
      </c>
      <c r="E7" s="16">
        <v>6</v>
      </c>
    </row>
    <row r="8" spans="1:10" s="2" customFormat="1" ht="30" customHeight="1">
      <c r="A8" s="17" t="s">
        <v>24</v>
      </c>
      <c r="B8" s="18" t="s">
        <v>25</v>
      </c>
      <c r="C8" s="14" t="s">
        <v>26</v>
      </c>
      <c r="D8" s="15" t="s">
        <v>8</v>
      </c>
      <c r="E8" s="16">
        <v>7</v>
      </c>
    </row>
    <row r="9" spans="1:10" s="2" customFormat="1" ht="30" customHeight="1">
      <c r="A9" s="17" t="s">
        <v>27</v>
      </c>
      <c r="B9" s="18" t="s">
        <v>28</v>
      </c>
      <c r="C9" s="14" t="s">
        <v>29</v>
      </c>
      <c r="D9" s="15" t="s">
        <v>8</v>
      </c>
      <c r="E9" s="16">
        <v>8</v>
      </c>
    </row>
    <row r="10" spans="1:10" s="2" customFormat="1" ht="30" customHeight="1">
      <c r="A10" s="12" t="s">
        <v>30</v>
      </c>
      <c r="B10" s="18" t="s">
        <v>31</v>
      </c>
      <c r="C10" s="14" t="s">
        <v>32</v>
      </c>
      <c r="D10" s="15" t="s">
        <v>8</v>
      </c>
      <c r="E10" s="16">
        <v>9</v>
      </c>
    </row>
    <row r="11" spans="1:10" s="2" customFormat="1" ht="30" customHeight="1">
      <c r="A11" s="12" t="s">
        <v>33</v>
      </c>
      <c r="B11" s="18" t="s">
        <v>34</v>
      </c>
      <c r="C11" s="14" t="s">
        <v>35</v>
      </c>
      <c r="D11" s="15" t="s">
        <v>8</v>
      </c>
      <c r="E11" s="16">
        <v>10</v>
      </c>
    </row>
    <row r="12" spans="1:10" s="2" customFormat="1" ht="30" customHeight="1">
      <c r="A12" s="12" t="s">
        <v>36</v>
      </c>
      <c r="B12" s="18" t="s">
        <v>37</v>
      </c>
      <c r="C12" s="14" t="s">
        <v>38</v>
      </c>
      <c r="D12" s="15" t="s">
        <v>8</v>
      </c>
      <c r="E12" s="16">
        <v>11</v>
      </c>
    </row>
    <row r="13" spans="1:10" s="2" customFormat="1" ht="30" customHeight="1">
      <c r="A13" s="12" t="s">
        <v>39</v>
      </c>
      <c r="B13" s="18" t="s">
        <v>40</v>
      </c>
      <c r="C13" s="14" t="s">
        <v>41</v>
      </c>
      <c r="D13" s="15" t="s">
        <v>8</v>
      </c>
      <c r="E13" s="16">
        <v>12</v>
      </c>
    </row>
    <row r="14" spans="1:10" s="2" customFormat="1" ht="30" customHeight="1">
      <c r="A14" s="17" t="s">
        <v>42</v>
      </c>
      <c r="B14" s="18" t="s">
        <v>43</v>
      </c>
      <c r="C14" s="14" t="s">
        <v>44</v>
      </c>
      <c r="D14" s="15" t="s">
        <v>8</v>
      </c>
      <c r="E14" s="16">
        <v>13</v>
      </c>
    </row>
    <row r="15" spans="1:10" s="3" customFormat="1" ht="30" customHeight="1">
      <c r="A15" s="17" t="s">
        <v>45</v>
      </c>
      <c r="B15" s="18" t="s">
        <v>46</v>
      </c>
      <c r="C15" s="14" t="s">
        <v>47</v>
      </c>
      <c r="D15" s="15" t="s">
        <v>8</v>
      </c>
      <c r="E15" s="16">
        <v>14</v>
      </c>
    </row>
    <row r="16" spans="1:10" s="3" customFormat="1" ht="30" customHeight="1">
      <c r="A16" s="17" t="s">
        <v>48</v>
      </c>
      <c r="B16" s="18" t="s">
        <v>49</v>
      </c>
      <c r="C16" s="14" t="s">
        <v>50</v>
      </c>
      <c r="D16" s="15" t="s">
        <v>8</v>
      </c>
      <c r="E16" s="16">
        <v>15</v>
      </c>
    </row>
    <row r="17" spans="1:5" s="3" customFormat="1" ht="30" customHeight="1">
      <c r="A17" s="17" t="s">
        <v>51</v>
      </c>
      <c r="B17" s="18" t="s">
        <v>52</v>
      </c>
      <c r="C17" s="14" t="s">
        <v>53</v>
      </c>
      <c r="D17" s="15" t="s">
        <v>8</v>
      </c>
      <c r="E17" s="16">
        <v>16</v>
      </c>
    </row>
    <row r="18" spans="1:5" s="3" customFormat="1" ht="30" customHeight="1">
      <c r="A18" s="12" t="s">
        <v>54</v>
      </c>
      <c r="B18" s="18" t="s">
        <v>55</v>
      </c>
      <c r="C18" s="14" t="s">
        <v>56</v>
      </c>
      <c r="D18" s="15" t="s">
        <v>8</v>
      </c>
      <c r="E18" s="16">
        <v>17</v>
      </c>
    </row>
    <row r="19" spans="1:5" s="3" customFormat="1" ht="30" customHeight="1">
      <c r="A19" s="12" t="s">
        <v>57</v>
      </c>
      <c r="B19" s="18" t="s">
        <v>58</v>
      </c>
      <c r="C19" s="14" t="s">
        <v>59</v>
      </c>
      <c r="D19" s="15" t="s">
        <v>8</v>
      </c>
      <c r="E19" s="16">
        <v>18</v>
      </c>
    </row>
    <row r="20" spans="1:5" s="3" customFormat="1" ht="30" customHeight="1">
      <c r="A20" s="12" t="s">
        <v>60</v>
      </c>
      <c r="B20" s="18" t="s">
        <v>61</v>
      </c>
      <c r="C20" s="14" t="s">
        <v>62</v>
      </c>
      <c r="D20" s="15" t="s">
        <v>8</v>
      </c>
      <c r="E20" s="16">
        <v>19</v>
      </c>
    </row>
    <row r="21" spans="1:5" s="3" customFormat="1" ht="30" customHeight="1">
      <c r="A21" s="12" t="s">
        <v>63</v>
      </c>
      <c r="B21" s="18" t="s">
        <v>64</v>
      </c>
      <c r="C21" s="14" t="s">
        <v>65</v>
      </c>
      <c r="D21" s="15" t="s">
        <v>8</v>
      </c>
      <c r="E21" s="16">
        <v>20</v>
      </c>
    </row>
    <row r="22" spans="1:5" s="3" customFormat="1" ht="30" customHeight="1">
      <c r="A22" s="17" t="s">
        <v>66</v>
      </c>
      <c r="B22" s="18" t="s">
        <v>67</v>
      </c>
      <c r="C22" s="14" t="s">
        <v>68</v>
      </c>
      <c r="D22" s="15" t="s">
        <v>8</v>
      </c>
      <c r="E22" s="16">
        <v>21</v>
      </c>
    </row>
    <row r="23" spans="1:5" s="3" customFormat="1" ht="30" customHeight="1">
      <c r="A23" s="17" t="s">
        <v>69</v>
      </c>
      <c r="B23" s="18" t="s">
        <v>70</v>
      </c>
      <c r="C23" s="14" t="s">
        <v>71</v>
      </c>
      <c r="D23" s="15" t="s">
        <v>8</v>
      </c>
      <c r="E23" s="16">
        <v>22</v>
      </c>
    </row>
    <row r="24" spans="1:5" s="3" customFormat="1" ht="30" customHeight="1">
      <c r="A24" s="17" t="s">
        <v>72</v>
      </c>
      <c r="B24" s="18" t="s">
        <v>73</v>
      </c>
      <c r="C24" s="14" t="s">
        <v>74</v>
      </c>
      <c r="D24" s="15" t="s">
        <v>8</v>
      </c>
      <c r="E24" s="16">
        <v>23</v>
      </c>
    </row>
    <row r="25" spans="1:5" s="3" customFormat="1" ht="30" customHeight="1">
      <c r="A25" s="17" t="s">
        <v>75</v>
      </c>
      <c r="B25" s="18" t="s">
        <v>76</v>
      </c>
      <c r="C25" s="14" t="s">
        <v>77</v>
      </c>
      <c r="D25" s="15" t="s">
        <v>8</v>
      </c>
      <c r="E25" s="16">
        <v>24</v>
      </c>
    </row>
    <row r="26" spans="1:5" s="3" customFormat="1" ht="30" customHeight="1">
      <c r="A26" s="12" t="s">
        <v>78</v>
      </c>
      <c r="B26" s="18" t="s">
        <v>79</v>
      </c>
      <c r="C26" s="14" t="s">
        <v>80</v>
      </c>
      <c r="D26" s="15" t="s">
        <v>8</v>
      </c>
      <c r="E26" s="16">
        <v>25</v>
      </c>
    </row>
    <row r="27" spans="1:5" s="3" customFormat="1" ht="30" customHeight="1">
      <c r="A27" s="12" t="s">
        <v>81</v>
      </c>
      <c r="B27" s="18" t="s">
        <v>82</v>
      </c>
      <c r="C27" s="14" t="s">
        <v>83</v>
      </c>
      <c r="D27" s="15" t="s">
        <v>8</v>
      </c>
      <c r="E27" s="16">
        <v>26</v>
      </c>
    </row>
    <row r="28" spans="1:5" s="3" customFormat="1" ht="30" customHeight="1">
      <c r="A28" s="12" t="s">
        <v>84</v>
      </c>
      <c r="B28" s="18" t="s">
        <v>85</v>
      </c>
      <c r="C28" s="14" t="s">
        <v>86</v>
      </c>
      <c r="D28" s="15" t="s">
        <v>8</v>
      </c>
      <c r="E28" s="16">
        <v>27</v>
      </c>
    </row>
    <row r="29" spans="1:5" s="3" customFormat="1" ht="30" customHeight="1">
      <c r="A29" s="12" t="s">
        <v>87</v>
      </c>
      <c r="B29" s="18" t="s">
        <v>88</v>
      </c>
      <c r="C29" s="14" t="s">
        <v>89</v>
      </c>
      <c r="D29" s="15" t="s">
        <v>8</v>
      </c>
      <c r="E29" s="16">
        <v>28</v>
      </c>
    </row>
    <row r="30" spans="1:5" s="3" customFormat="1" ht="30" customHeight="1">
      <c r="A30" s="17" t="s">
        <v>90</v>
      </c>
      <c r="B30" s="18" t="s">
        <v>91</v>
      </c>
      <c r="C30" s="14" t="s">
        <v>92</v>
      </c>
      <c r="D30" s="15" t="s">
        <v>8</v>
      </c>
      <c r="E30" s="16">
        <v>29</v>
      </c>
    </row>
    <row r="31" spans="1:5" s="3" customFormat="1" ht="30" customHeight="1">
      <c r="A31" s="17" t="s">
        <v>93</v>
      </c>
      <c r="B31" s="18" t="s">
        <v>94</v>
      </c>
      <c r="C31" s="14" t="s">
        <v>95</v>
      </c>
      <c r="D31" s="15" t="s">
        <v>8</v>
      </c>
      <c r="E31" s="16">
        <v>30</v>
      </c>
    </row>
    <row r="32" spans="1:5" s="3" customFormat="1" ht="30" customHeight="1">
      <c r="A32" s="17" t="s">
        <v>96</v>
      </c>
      <c r="B32" s="18" t="s">
        <v>97</v>
      </c>
      <c r="C32" s="14" t="s">
        <v>98</v>
      </c>
      <c r="D32" s="15" t="s">
        <v>8</v>
      </c>
      <c r="E32" s="16">
        <v>31</v>
      </c>
    </row>
    <row r="33" spans="1:5" s="3" customFormat="1" ht="30" customHeight="1">
      <c r="A33" s="17" t="s">
        <v>99</v>
      </c>
      <c r="B33" s="18" t="s">
        <v>100</v>
      </c>
      <c r="C33" s="14" t="s">
        <v>101</v>
      </c>
      <c r="D33" s="15" t="s">
        <v>8</v>
      </c>
      <c r="E33" s="16">
        <v>32</v>
      </c>
    </row>
    <row r="34" spans="1:5" s="3" customFormat="1" ht="30" customHeight="1">
      <c r="A34" s="12" t="s">
        <v>102</v>
      </c>
      <c r="B34" s="18" t="s">
        <v>103</v>
      </c>
      <c r="C34" s="14" t="s">
        <v>104</v>
      </c>
      <c r="D34" s="15" t="s">
        <v>8</v>
      </c>
      <c r="E34" s="16">
        <v>33</v>
      </c>
    </row>
    <row r="35" spans="1:5" s="3" customFormat="1" ht="30" customHeight="1">
      <c r="A35" s="12" t="s">
        <v>105</v>
      </c>
      <c r="B35" s="18" t="s">
        <v>106</v>
      </c>
      <c r="C35" s="14" t="s">
        <v>107</v>
      </c>
      <c r="D35" s="15" t="s">
        <v>8</v>
      </c>
      <c r="E35" s="16">
        <v>34</v>
      </c>
    </row>
    <row r="36" spans="1:5" s="3" customFormat="1" ht="30" customHeight="1">
      <c r="A36" s="12" t="s">
        <v>108</v>
      </c>
      <c r="B36" s="18" t="s">
        <v>109</v>
      </c>
      <c r="C36" s="14" t="s">
        <v>110</v>
      </c>
      <c r="D36" s="15" t="s">
        <v>8</v>
      </c>
      <c r="E36" s="16">
        <v>35</v>
      </c>
    </row>
    <row r="37" spans="1:5" s="3" customFormat="1" ht="30" customHeight="1">
      <c r="A37" s="12" t="s">
        <v>111</v>
      </c>
      <c r="B37" s="18" t="s">
        <v>112</v>
      </c>
      <c r="C37" s="14" t="s">
        <v>113</v>
      </c>
      <c r="D37" s="15" t="s">
        <v>8</v>
      </c>
      <c r="E37" s="16">
        <v>36</v>
      </c>
    </row>
    <row r="38" spans="1:5" s="3" customFormat="1" ht="30" customHeight="1">
      <c r="A38" s="17" t="s">
        <v>114</v>
      </c>
      <c r="B38" s="18" t="s">
        <v>115</v>
      </c>
      <c r="C38" s="14" t="s">
        <v>116</v>
      </c>
      <c r="D38" s="15" t="s">
        <v>8</v>
      </c>
      <c r="E38" s="16">
        <v>37</v>
      </c>
    </row>
    <row r="39" spans="1:5" s="3" customFormat="1" ht="30" customHeight="1">
      <c r="A39" s="17" t="s">
        <v>117</v>
      </c>
      <c r="B39" s="18" t="s">
        <v>118</v>
      </c>
      <c r="C39" s="14" t="s">
        <v>119</v>
      </c>
      <c r="D39" s="15" t="s">
        <v>8</v>
      </c>
      <c r="E39" s="16">
        <v>38</v>
      </c>
    </row>
    <row r="40" spans="1:5" s="3" customFormat="1" ht="30" customHeight="1">
      <c r="A40" s="17" t="s">
        <v>120</v>
      </c>
      <c r="B40" s="18" t="s">
        <v>121</v>
      </c>
      <c r="C40" s="14" t="s">
        <v>122</v>
      </c>
      <c r="D40" s="15" t="s">
        <v>8</v>
      </c>
      <c r="E40" s="16">
        <v>39</v>
      </c>
    </row>
    <row r="41" spans="1:5" s="3" customFormat="1" ht="30" customHeight="1">
      <c r="A41" s="17" t="s">
        <v>123</v>
      </c>
      <c r="B41" s="18" t="s">
        <v>124</v>
      </c>
      <c r="C41" s="14" t="s">
        <v>125</v>
      </c>
      <c r="D41" s="15" t="s">
        <v>8</v>
      </c>
      <c r="E41" s="16">
        <v>40</v>
      </c>
    </row>
    <row r="42" spans="1:5" s="3" customFormat="1" ht="30" customHeight="1">
      <c r="A42" s="12" t="s">
        <v>126</v>
      </c>
      <c r="B42" s="18" t="s">
        <v>127</v>
      </c>
      <c r="C42" s="14" t="s">
        <v>128</v>
      </c>
      <c r="D42" s="15" t="s">
        <v>8</v>
      </c>
      <c r="E42" s="16">
        <v>41</v>
      </c>
    </row>
    <row r="43" spans="1:5" s="3" customFormat="1" ht="30" customHeight="1">
      <c r="A43" s="12" t="s">
        <v>129</v>
      </c>
      <c r="B43" s="18" t="s">
        <v>130</v>
      </c>
      <c r="C43" s="14" t="s">
        <v>131</v>
      </c>
      <c r="D43" s="15" t="s">
        <v>8</v>
      </c>
      <c r="E43" s="16">
        <v>42</v>
      </c>
    </row>
    <row r="44" spans="1:5" s="3" customFormat="1" ht="30" customHeight="1">
      <c r="A44" s="17" t="s">
        <v>132</v>
      </c>
      <c r="B44" s="18" t="s">
        <v>133</v>
      </c>
      <c r="C44" s="14" t="s">
        <v>134</v>
      </c>
      <c r="D44" s="15" t="s">
        <v>8</v>
      </c>
      <c r="E44" s="16">
        <v>43</v>
      </c>
    </row>
    <row r="45" spans="1:5" s="3" customFormat="1" ht="30" customHeight="1">
      <c r="A45" s="17" t="s">
        <v>135</v>
      </c>
      <c r="B45" s="18" t="s">
        <v>136</v>
      </c>
      <c r="C45" s="14" t="s">
        <v>137</v>
      </c>
      <c r="D45" s="15" t="s">
        <v>8</v>
      </c>
      <c r="E45" s="16">
        <v>44</v>
      </c>
    </row>
    <row r="46" spans="1:5" s="3" customFormat="1" ht="30" customHeight="1">
      <c r="A46" s="12" t="s">
        <v>138</v>
      </c>
      <c r="B46" s="18" t="s">
        <v>139</v>
      </c>
      <c r="C46" s="14" t="s">
        <v>140</v>
      </c>
      <c r="D46" s="15" t="s">
        <v>8</v>
      </c>
      <c r="E46" s="16">
        <v>45</v>
      </c>
    </row>
    <row r="47" spans="1:5" s="3" customFormat="1" ht="30" customHeight="1">
      <c r="A47" s="12" t="s">
        <v>141</v>
      </c>
      <c r="B47" s="18" t="s">
        <v>142</v>
      </c>
      <c r="C47" s="14" t="s">
        <v>143</v>
      </c>
      <c r="D47" s="15" t="s">
        <v>8</v>
      </c>
      <c r="E47" s="16">
        <v>46</v>
      </c>
    </row>
    <row r="48" spans="1:5" s="3" customFormat="1" ht="30" customHeight="1">
      <c r="A48" s="17" t="s">
        <v>144</v>
      </c>
      <c r="B48" s="18" t="s">
        <v>145</v>
      </c>
      <c r="C48" s="14" t="s">
        <v>146</v>
      </c>
      <c r="D48" s="15" t="s">
        <v>8</v>
      </c>
      <c r="E48" s="16">
        <v>47</v>
      </c>
    </row>
    <row r="49" spans="1:5" s="3" customFormat="1" ht="30" customHeight="1">
      <c r="A49" s="17" t="s">
        <v>147</v>
      </c>
      <c r="B49" s="18" t="s">
        <v>148</v>
      </c>
      <c r="C49" s="14" t="s">
        <v>149</v>
      </c>
      <c r="D49" s="15" t="s">
        <v>8</v>
      </c>
      <c r="E49" s="16">
        <v>48</v>
      </c>
    </row>
    <row r="50" spans="1:5" s="3" customFormat="1" ht="30" customHeight="1">
      <c r="A50" s="12" t="s">
        <v>150</v>
      </c>
      <c r="B50" s="18" t="s">
        <v>151</v>
      </c>
      <c r="C50" s="14" t="s">
        <v>152</v>
      </c>
      <c r="D50" s="15" t="s">
        <v>8</v>
      </c>
      <c r="E50" s="16">
        <v>49</v>
      </c>
    </row>
    <row r="51" spans="1:5" s="3" customFormat="1" ht="30" customHeight="1">
      <c r="A51" s="12" t="s">
        <v>153</v>
      </c>
      <c r="B51" s="18" t="s">
        <v>154</v>
      </c>
      <c r="C51" s="14" t="s">
        <v>155</v>
      </c>
      <c r="D51" s="15" t="s">
        <v>8</v>
      </c>
      <c r="E51" s="16">
        <v>50</v>
      </c>
    </row>
    <row r="52" spans="1:5" s="3" customFormat="1" ht="30" customHeight="1">
      <c r="A52" s="17" t="s">
        <v>156</v>
      </c>
      <c r="B52" s="18" t="s">
        <v>157</v>
      </c>
      <c r="C52" s="14" t="s">
        <v>158</v>
      </c>
      <c r="D52" s="15" t="s">
        <v>8</v>
      </c>
      <c r="E52" s="16">
        <v>51</v>
      </c>
    </row>
    <row r="53" spans="1:5" s="3" customFormat="1" ht="30" customHeight="1">
      <c r="A53" s="17" t="s">
        <v>159</v>
      </c>
      <c r="B53" s="18" t="s">
        <v>160</v>
      </c>
      <c r="C53" s="14" t="s">
        <v>161</v>
      </c>
      <c r="D53" s="15" t="s">
        <v>8</v>
      </c>
      <c r="E53" s="16">
        <v>52</v>
      </c>
    </row>
    <row r="54" spans="1:5" s="3" customFormat="1" ht="30" customHeight="1">
      <c r="A54" s="12" t="s">
        <v>162</v>
      </c>
      <c r="B54" s="18" t="s">
        <v>163</v>
      </c>
      <c r="C54" s="14" t="s">
        <v>164</v>
      </c>
      <c r="D54" s="15" t="s">
        <v>8</v>
      </c>
      <c r="E54" s="16">
        <v>53</v>
      </c>
    </row>
    <row r="55" spans="1:5" s="3" customFormat="1" ht="30" customHeight="1">
      <c r="A55" s="12" t="s">
        <v>165</v>
      </c>
      <c r="B55" s="18" t="s">
        <v>166</v>
      </c>
      <c r="C55" s="14" t="s">
        <v>167</v>
      </c>
      <c r="D55" s="15" t="s">
        <v>8</v>
      </c>
      <c r="E55" s="16">
        <v>54</v>
      </c>
    </row>
    <row r="56" spans="1:5" s="3" customFormat="1" ht="30" customHeight="1">
      <c r="A56" s="17" t="s">
        <v>168</v>
      </c>
      <c r="B56" s="18" t="s">
        <v>169</v>
      </c>
      <c r="C56" s="14" t="s">
        <v>170</v>
      </c>
      <c r="D56" s="15" t="s">
        <v>8</v>
      </c>
      <c r="E56" s="16">
        <v>55</v>
      </c>
    </row>
    <row r="57" spans="1:5" s="3" customFormat="1" ht="30" customHeight="1">
      <c r="A57" s="17" t="s">
        <v>171</v>
      </c>
      <c r="B57" s="18" t="s">
        <v>172</v>
      </c>
      <c r="C57" s="14" t="s">
        <v>173</v>
      </c>
      <c r="D57" s="15" t="s">
        <v>8</v>
      </c>
      <c r="E57" s="16">
        <v>56</v>
      </c>
    </row>
    <row r="58" spans="1:5" s="3" customFormat="1" ht="30" customHeight="1">
      <c r="A58" s="17" t="s">
        <v>174</v>
      </c>
      <c r="B58" s="18" t="s">
        <v>175</v>
      </c>
      <c r="C58" s="14" t="s">
        <v>176</v>
      </c>
      <c r="D58" s="15" t="s">
        <v>8</v>
      </c>
      <c r="E58" s="16">
        <v>57</v>
      </c>
    </row>
    <row r="59" spans="1:5" s="3" customFormat="1" ht="30" customHeight="1">
      <c r="A59" s="17" t="s">
        <v>177</v>
      </c>
      <c r="B59" s="18" t="s">
        <v>178</v>
      </c>
      <c r="C59" s="14" t="s">
        <v>179</v>
      </c>
      <c r="D59" s="15" t="s">
        <v>8</v>
      </c>
      <c r="E59" s="16">
        <v>58</v>
      </c>
    </row>
    <row r="60" spans="1:5" s="3" customFormat="1" ht="30" customHeight="1">
      <c r="A60" s="12" t="s">
        <v>180</v>
      </c>
      <c r="B60" s="18" t="s">
        <v>181</v>
      </c>
      <c r="C60" s="14" t="s">
        <v>182</v>
      </c>
      <c r="D60" s="15" t="s">
        <v>8</v>
      </c>
      <c r="E60" s="16">
        <v>59</v>
      </c>
    </row>
    <row r="61" spans="1:5" s="3" customFormat="1" ht="30" customHeight="1">
      <c r="A61" s="12" t="s">
        <v>183</v>
      </c>
      <c r="B61" s="18" t="s">
        <v>184</v>
      </c>
      <c r="C61" s="14" t="s">
        <v>185</v>
      </c>
      <c r="D61" s="15" t="s">
        <v>8</v>
      </c>
      <c r="E61" s="16">
        <v>60</v>
      </c>
    </row>
    <row r="62" spans="1:5" s="3" customFormat="1" ht="30" customHeight="1">
      <c r="A62" s="12" t="s">
        <v>186</v>
      </c>
      <c r="B62" s="18" t="s">
        <v>187</v>
      </c>
      <c r="C62" s="14" t="s">
        <v>188</v>
      </c>
      <c r="D62" s="15" t="s">
        <v>8</v>
      </c>
      <c r="E62" s="16">
        <v>61</v>
      </c>
    </row>
    <row r="63" spans="1:5" s="3" customFormat="1" ht="30" customHeight="1">
      <c r="A63" s="12" t="s">
        <v>189</v>
      </c>
      <c r="B63" s="18" t="s">
        <v>190</v>
      </c>
      <c r="C63" s="14" t="s">
        <v>191</v>
      </c>
      <c r="D63" s="15" t="s">
        <v>8</v>
      </c>
      <c r="E63" s="16">
        <v>62</v>
      </c>
    </row>
    <row r="64" spans="1:5" s="3" customFormat="1" ht="30" customHeight="1">
      <c r="A64" s="17" t="s">
        <v>192</v>
      </c>
      <c r="B64" s="18" t="s">
        <v>193</v>
      </c>
      <c r="C64" s="14" t="s">
        <v>194</v>
      </c>
      <c r="D64" s="15" t="s">
        <v>8</v>
      </c>
      <c r="E64" s="16">
        <v>63</v>
      </c>
    </row>
    <row r="65" spans="1:5" s="3" customFormat="1" ht="30" customHeight="1">
      <c r="A65" s="17" t="s">
        <v>195</v>
      </c>
      <c r="B65" s="18" t="s">
        <v>196</v>
      </c>
      <c r="C65" s="14" t="s">
        <v>197</v>
      </c>
      <c r="D65" s="15" t="s">
        <v>8</v>
      </c>
      <c r="E65" s="16">
        <v>64</v>
      </c>
    </row>
    <row r="66" spans="1:5" s="3" customFormat="1" ht="30" customHeight="1">
      <c r="A66" s="17" t="s">
        <v>198</v>
      </c>
      <c r="B66" s="18" t="s">
        <v>199</v>
      </c>
      <c r="C66" s="14" t="s">
        <v>200</v>
      </c>
      <c r="D66" s="15" t="s">
        <v>8</v>
      </c>
      <c r="E66" s="16">
        <v>65</v>
      </c>
    </row>
    <row r="67" spans="1:5" s="3" customFormat="1" ht="30" customHeight="1">
      <c r="A67" s="17" t="s">
        <v>201</v>
      </c>
      <c r="B67" s="18" t="s">
        <v>202</v>
      </c>
      <c r="C67" s="14" t="s">
        <v>203</v>
      </c>
      <c r="D67" s="15" t="s">
        <v>8</v>
      </c>
      <c r="E67" s="16">
        <v>66</v>
      </c>
    </row>
    <row r="68" spans="1:5" s="3" customFormat="1" ht="30" customHeight="1">
      <c r="A68" s="12" t="s">
        <v>204</v>
      </c>
      <c r="B68" s="18" t="s">
        <v>205</v>
      </c>
      <c r="C68" s="14" t="s">
        <v>206</v>
      </c>
      <c r="D68" s="15" t="s">
        <v>8</v>
      </c>
      <c r="E68" s="16">
        <v>67</v>
      </c>
    </row>
    <row r="69" spans="1:5" s="3" customFormat="1" ht="30" customHeight="1">
      <c r="A69" s="12" t="s">
        <v>207</v>
      </c>
      <c r="B69" s="18" t="s">
        <v>208</v>
      </c>
      <c r="C69" s="14" t="s">
        <v>209</v>
      </c>
      <c r="D69" s="15" t="s">
        <v>8</v>
      </c>
      <c r="E69" s="16">
        <v>68</v>
      </c>
    </row>
    <row r="70" spans="1:5" s="3" customFormat="1" ht="30" customHeight="1">
      <c r="A70" s="12" t="s">
        <v>210</v>
      </c>
      <c r="B70" s="18" t="s">
        <v>211</v>
      </c>
      <c r="C70" s="14" t="s">
        <v>212</v>
      </c>
      <c r="D70" s="15" t="s">
        <v>8</v>
      </c>
      <c r="E70" s="16">
        <v>69</v>
      </c>
    </row>
    <row r="71" spans="1:5" s="3" customFormat="1" ht="30" customHeight="1">
      <c r="A71" s="12" t="s">
        <v>213</v>
      </c>
      <c r="B71" s="18" t="s">
        <v>214</v>
      </c>
      <c r="C71" s="14" t="s">
        <v>215</v>
      </c>
      <c r="D71" s="15" t="s">
        <v>8</v>
      </c>
      <c r="E71" s="16">
        <v>70</v>
      </c>
    </row>
    <row r="72" spans="1:5" s="3" customFormat="1" ht="30" customHeight="1">
      <c r="A72" s="17" t="s">
        <v>216</v>
      </c>
      <c r="B72" s="18" t="s">
        <v>217</v>
      </c>
      <c r="C72" s="14" t="s">
        <v>218</v>
      </c>
      <c r="D72" s="15" t="s">
        <v>8</v>
      </c>
      <c r="E72" s="16">
        <v>71</v>
      </c>
    </row>
    <row r="73" spans="1:5" s="3" customFormat="1" ht="30" customHeight="1">
      <c r="A73" s="17" t="s">
        <v>219</v>
      </c>
      <c r="B73" s="18" t="s">
        <v>220</v>
      </c>
      <c r="C73" s="14" t="s">
        <v>221</v>
      </c>
      <c r="D73" s="15" t="s">
        <v>8</v>
      </c>
      <c r="E73" s="16">
        <v>72</v>
      </c>
    </row>
    <row r="74" spans="1:5" s="3" customFormat="1" ht="30" customHeight="1">
      <c r="A74" s="17" t="s">
        <v>222</v>
      </c>
      <c r="B74" s="18" t="s">
        <v>223</v>
      </c>
      <c r="C74" s="14" t="s">
        <v>224</v>
      </c>
      <c r="D74" s="15" t="s">
        <v>8</v>
      </c>
      <c r="E74" s="16">
        <v>73</v>
      </c>
    </row>
    <row r="75" spans="1:5" s="3" customFormat="1" ht="30" customHeight="1">
      <c r="A75" s="17" t="s">
        <v>225</v>
      </c>
      <c r="B75" s="18" t="s">
        <v>226</v>
      </c>
      <c r="C75" s="14" t="s">
        <v>227</v>
      </c>
      <c r="D75" s="15" t="s">
        <v>8</v>
      </c>
      <c r="E75" s="16">
        <v>74</v>
      </c>
    </row>
    <row r="76" spans="1:5" s="3" customFormat="1" ht="30" customHeight="1">
      <c r="A76" s="12" t="s">
        <v>228</v>
      </c>
      <c r="B76" s="18" t="s">
        <v>229</v>
      </c>
      <c r="C76" s="14" t="s">
        <v>230</v>
      </c>
      <c r="D76" s="15" t="s">
        <v>8</v>
      </c>
      <c r="E76" s="16">
        <v>75</v>
      </c>
    </row>
    <row r="77" spans="1:5" s="3" customFormat="1" ht="30" customHeight="1">
      <c r="A77" s="12" t="s">
        <v>231</v>
      </c>
      <c r="B77" s="18" t="s">
        <v>232</v>
      </c>
      <c r="C77" s="14" t="s">
        <v>233</v>
      </c>
      <c r="D77" s="15" t="s">
        <v>8</v>
      </c>
      <c r="E77" s="16">
        <v>76</v>
      </c>
    </row>
    <row r="78" spans="1:5" s="3" customFormat="1" ht="30" customHeight="1">
      <c r="A78" s="12" t="s">
        <v>234</v>
      </c>
      <c r="B78" s="18" t="s">
        <v>235</v>
      </c>
      <c r="C78" s="14" t="s">
        <v>236</v>
      </c>
      <c r="D78" s="15" t="s">
        <v>8</v>
      </c>
      <c r="E78" s="16">
        <v>77</v>
      </c>
    </row>
    <row r="79" spans="1:5" s="3" customFormat="1" ht="30" customHeight="1">
      <c r="A79" s="12" t="s">
        <v>237</v>
      </c>
      <c r="B79" s="18" t="s">
        <v>238</v>
      </c>
      <c r="C79" s="14" t="s">
        <v>239</v>
      </c>
      <c r="D79" s="15" t="s">
        <v>8</v>
      </c>
      <c r="E79" s="16">
        <v>78</v>
      </c>
    </row>
    <row r="80" spans="1:5" s="3" customFormat="1" ht="30" customHeight="1">
      <c r="A80" s="17" t="s">
        <v>240</v>
      </c>
      <c r="B80" s="18" t="s">
        <v>241</v>
      </c>
      <c r="C80" s="14" t="s">
        <v>242</v>
      </c>
      <c r="D80" s="15" t="s">
        <v>8</v>
      </c>
      <c r="E80" s="16">
        <v>79</v>
      </c>
    </row>
    <row r="81" spans="1:5" s="3" customFormat="1" ht="30" customHeight="1">
      <c r="A81" s="17" t="s">
        <v>243</v>
      </c>
      <c r="B81" s="18" t="s">
        <v>244</v>
      </c>
      <c r="C81" s="14" t="s">
        <v>245</v>
      </c>
      <c r="D81" s="15" t="s">
        <v>8</v>
      </c>
      <c r="E81" s="16">
        <v>80</v>
      </c>
    </row>
    <row r="82" spans="1:5" s="3" customFormat="1" ht="30" customHeight="1">
      <c r="A82" s="17" t="s">
        <v>246</v>
      </c>
      <c r="B82" s="18" t="s">
        <v>247</v>
      </c>
      <c r="C82" s="14" t="s">
        <v>248</v>
      </c>
      <c r="D82" s="15" t="s">
        <v>8</v>
      </c>
      <c r="E82" s="16">
        <v>81</v>
      </c>
    </row>
    <row r="83" spans="1:5" s="3" customFormat="1" ht="30" customHeight="1">
      <c r="A83" s="17" t="s">
        <v>249</v>
      </c>
      <c r="B83" s="18" t="s">
        <v>250</v>
      </c>
      <c r="C83" s="14" t="s">
        <v>251</v>
      </c>
      <c r="D83" s="15" t="s">
        <v>8</v>
      </c>
      <c r="E83" s="16">
        <v>82</v>
      </c>
    </row>
    <row r="84" spans="1:5" s="3" customFormat="1" ht="30" customHeight="1">
      <c r="A84" s="12" t="s">
        <v>252</v>
      </c>
      <c r="B84" s="18" t="s">
        <v>253</v>
      </c>
      <c r="C84" s="14" t="s">
        <v>254</v>
      </c>
      <c r="D84" s="15" t="s">
        <v>8</v>
      </c>
      <c r="E84" s="16">
        <v>83</v>
      </c>
    </row>
    <row r="85" spans="1:5" s="3" customFormat="1" ht="30" customHeight="1">
      <c r="A85" s="12" t="s">
        <v>255</v>
      </c>
      <c r="B85" s="18" t="s">
        <v>256</v>
      </c>
      <c r="C85" s="14" t="s">
        <v>257</v>
      </c>
      <c r="D85" s="15" t="s">
        <v>8</v>
      </c>
      <c r="E85" s="16">
        <v>84</v>
      </c>
    </row>
    <row r="86" spans="1:5" s="3" customFormat="1" ht="30" customHeight="1">
      <c r="A86" s="12" t="s">
        <v>258</v>
      </c>
      <c r="B86" s="18" t="s">
        <v>259</v>
      </c>
      <c r="C86" s="14" t="s">
        <v>260</v>
      </c>
      <c r="D86" s="15" t="s">
        <v>8</v>
      </c>
      <c r="E86" s="16">
        <v>85</v>
      </c>
    </row>
    <row r="87" spans="1:5" s="3" customFormat="1" ht="30" customHeight="1">
      <c r="A87" s="12" t="s">
        <v>261</v>
      </c>
      <c r="B87" s="18" t="s">
        <v>262</v>
      </c>
      <c r="C87" s="14" t="s">
        <v>263</v>
      </c>
      <c r="D87" s="15" t="s">
        <v>8</v>
      </c>
      <c r="E87" s="16">
        <v>86</v>
      </c>
    </row>
    <row r="88" spans="1:5" s="3" customFormat="1" ht="30" customHeight="1">
      <c r="A88" s="17" t="s">
        <v>264</v>
      </c>
      <c r="B88" s="18" t="s">
        <v>265</v>
      </c>
      <c r="C88" s="14" t="s">
        <v>266</v>
      </c>
      <c r="D88" s="15" t="s">
        <v>8</v>
      </c>
      <c r="E88" s="16">
        <v>87</v>
      </c>
    </row>
    <row r="89" spans="1:5" s="3" customFormat="1" ht="30" customHeight="1">
      <c r="A89" s="17" t="s">
        <v>267</v>
      </c>
      <c r="B89" s="18" t="s">
        <v>268</v>
      </c>
      <c r="C89" s="14" t="s">
        <v>269</v>
      </c>
      <c r="D89" s="15" t="s">
        <v>8</v>
      </c>
      <c r="E89" s="16">
        <v>88</v>
      </c>
    </row>
    <row r="90" spans="1:5" s="3" customFormat="1" ht="30" customHeight="1">
      <c r="A90" s="17" t="s">
        <v>270</v>
      </c>
      <c r="B90" s="18" t="s">
        <v>271</v>
      </c>
      <c r="C90" s="14" t="s">
        <v>272</v>
      </c>
      <c r="D90" s="15" t="s">
        <v>8</v>
      </c>
      <c r="E90" s="16">
        <v>89</v>
      </c>
    </row>
    <row r="91" spans="1:5" s="3" customFormat="1" ht="30" customHeight="1">
      <c r="A91" s="17" t="s">
        <v>273</v>
      </c>
      <c r="B91" s="18" t="s">
        <v>274</v>
      </c>
      <c r="C91" s="14" t="s">
        <v>275</v>
      </c>
      <c r="D91" s="15" t="s">
        <v>8</v>
      </c>
      <c r="E91" s="16">
        <v>90</v>
      </c>
    </row>
    <row r="92" spans="1:5" s="3" customFormat="1" ht="30" customHeight="1">
      <c r="A92" s="12" t="s">
        <v>276</v>
      </c>
      <c r="B92" s="18" t="s">
        <v>277</v>
      </c>
      <c r="C92" s="14" t="s">
        <v>278</v>
      </c>
      <c r="D92" s="15" t="s">
        <v>8</v>
      </c>
      <c r="E92" s="16">
        <v>91</v>
      </c>
    </row>
    <row r="93" spans="1:5" s="3" customFormat="1" ht="30" customHeight="1">
      <c r="A93" s="12" t="s">
        <v>279</v>
      </c>
      <c r="B93" s="18" t="s">
        <v>280</v>
      </c>
      <c r="C93" s="14" t="s">
        <v>281</v>
      </c>
      <c r="D93" s="15" t="s">
        <v>8</v>
      </c>
      <c r="E93" s="16">
        <v>92</v>
      </c>
    </row>
    <row r="94" spans="1:5" s="3" customFormat="1" ht="30" customHeight="1">
      <c r="A94" s="12" t="s">
        <v>282</v>
      </c>
      <c r="B94" s="18" t="s">
        <v>283</v>
      </c>
      <c r="C94" s="14" t="s">
        <v>284</v>
      </c>
      <c r="D94" s="15" t="s">
        <v>8</v>
      </c>
      <c r="E94" s="16">
        <v>93</v>
      </c>
    </row>
    <row r="95" spans="1:5" s="3" customFormat="1" ht="30" customHeight="1">
      <c r="A95" s="12" t="s">
        <v>285</v>
      </c>
      <c r="B95" s="18" t="s">
        <v>286</v>
      </c>
      <c r="C95" s="14" t="s">
        <v>287</v>
      </c>
      <c r="D95" s="15" t="s">
        <v>8</v>
      </c>
      <c r="E95" s="16">
        <v>94</v>
      </c>
    </row>
    <row r="96" spans="1:5" s="3" customFormat="1" ht="30" customHeight="1">
      <c r="A96" s="17" t="s">
        <v>288</v>
      </c>
      <c r="B96" s="18" t="s">
        <v>289</v>
      </c>
      <c r="C96" s="14" t="s">
        <v>290</v>
      </c>
      <c r="D96" s="15" t="s">
        <v>8</v>
      </c>
      <c r="E96" s="16">
        <v>95</v>
      </c>
    </row>
    <row r="97" spans="1:5" s="3" customFormat="1" ht="30" customHeight="1">
      <c r="A97" s="17" t="s">
        <v>291</v>
      </c>
      <c r="B97" s="18" t="s">
        <v>292</v>
      </c>
      <c r="C97" s="14" t="s">
        <v>293</v>
      </c>
      <c r="D97" s="15" t="s">
        <v>8</v>
      </c>
      <c r="E97" s="16">
        <v>96</v>
      </c>
    </row>
    <row r="98" spans="1:5" s="3" customFormat="1" ht="30" customHeight="1">
      <c r="A98" s="17" t="s">
        <v>294</v>
      </c>
      <c r="B98" s="18" t="s">
        <v>295</v>
      </c>
      <c r="C98" s="14" t="s">
        <v>296</v>
      </c>
      <c r="D98" s="15" t="s">
        <v>8</v>
      </c>
      <c r="E98" s="16">
        <v>97</v>
      </c>
    </row>
    <row r="99" spans="1:5" s="3" customFormat="1" ht="30" customHeight="1">
      <c r="A99" s="17" t="s">
        <v>297</v>
      </c>
      <c r="B99" s="18" t="s">
        <v>298</v>
      </c>
      <c r="C99" s="14" t="s">
        <v>299</v>
      </c>
      <c r="D99" s="15" t="s">
        <v>8</v>
      </c>
      <c r="E99" s="16">
        <v>98</v>
      </c>
    </row>
    <row r="100" spans="1:5" s="3" customFormat="1" ht="30" customHeight="1">
      <c r="A100" s="12" t="s">
        <v>300</v>
      </c>
      <c r="B100" s="18" t="s">
        <v>301</v>
      </c>
      <c r="C100" s="14" t="s">
        <v>302</v>
      </c>
      <c r="D100" s="15" t="s">
        <v>8</v>
      </c>
      <c r="E100" s="16">
        <v>99</v>
      </c>
    </row>
    <row r="101" spans="1:5" s="3" customFormat="1" ht="30" customHeight="1">
      <c r="A101" s="12" t="s">
        <v>303</v>
      </c>
      <c r="B101" s="18" t="s">
        <v>304</v>
      </c>
      <c r="C101" s="14" t="s">
        <v>305</v>
      </c>
      <c r="D101" s="15" t="s">
        <v>8</v>
      </c>
      <c r="E101" s="16">
        <v>100</v>
      </c>
    </row>
    <row r="102" spans="1:5" s="3" customFormat="1" ht="30" customHeight="1">
      <c r="A102" s="12" t="s">
        <v>306</v>
      </c>
      <c r="B102" s="18" t="s">
        <v>307</v>
      </c>
      <c r="C102" s="14" t="s">
        <v>308</v>
      </c>
      <c r="D102" s="15" t="s">
        <v>8</v>
      </c>
      <c r="E102" s="16">
        <v>101</v>
      </c>
    </row>
    <row r="103" spans="1:5" s="3" customFormat="1" ht="30" customHeight="1">
      <c r="A103" s="12" t="s">
        <v>309</v>
      </c>
      <c r="B103" s="18" t="s">
        <v>310</v>
      </c>
      <c r="C103" s="14" t="s">
        <v>311</v>
      </c>
      <c r="D103" s="15" t="s">
        <v>8</v>
      </c>
      <c r="E103" s="16">
        <v>102</v>
      </c>
    </row>
    <row r="104" spans="1:5" s="3" customFormat="1" ht="30" customHeight="1">
      <c r="A104" s="17" t="s">
        <v>312</v>
      </c>
      <c r="B104" s="18" t="s">
        <v>313</v>
      </c>
      <c r="C104" s="14" t="s">
        <v>314</v>
      </c>
      <c r="D104" s="15" t="s">
        <v>8</v>
      </c>
      <c r="E104" s="16">
        <v>103</v>
      </c>
    </row>
    <row r="105" spans="1:5" s="3" customFormat="1" ht="30" customHeight="1">
      <c r="A105" s="17" t="s">
        <v>315</v>
      </c>
      <c r="B105" s="18" t="s">
        <v>316</v>
      </c>
      <c r="C105" s="14" t="s">
        <v>317</v>
      </c>
      <c r="D105" s="15" t="s">
        <v>8</v>
      </c>
      <c r="E105" s="16">
        <v>104</v>
      </c>
    </row>
    <row r="106" spans="1:5" s="3" customFormat="1" ht="30" customHeight="1">
      <c r="A106" s="17" t="s">
        <v>318</v>
      </c>
      <c r="B106" s="18" t="s">
        <v>319</v>
      </c>
      <c r="C106" s="14" t="s">
        <v>320</v>
      </c>
      <c r="D106" s="15" t="s">
        <v>8</v>
      </c>
      <c r="E106" s="16">
        <v>105</v>
      </c>
    </row>
    <row r="107" spans="1:5" s="3" customFormat="1" ht="30" customHeight="1">
      <c r="A107" s="17" t="s">
        <v>321</v>
      </c>
      <c r="B107" s="18" t="s">
        <v>322</v>
      </c>
      <c r="C107" s="14" t="s">
        <v>323</v>
      </c>
      <c r="D107" s="15" t="s">
        <v>8</v>
      </c>
      <c r="E107" s="16">
        <v>106</v>
      </c>
    </row>
    <row r="108" spans="1:5" s="3" customFormat="1" ht="30" customHeight="1">
      <c r="A108" s="12" t="s">
        <v>324</v>
      </c>
      <c r="B108" s="18" t="s">
        <v>325</v>
      </c>
      <c r="C108" s="14" t="s">
        <v>326</v>
      </c>
      <c r="D108" s="15" t="s">
        <v>8</v>
      </c>
      <c r="E108" s="16">
        <v>107</v>
      </c>
    </row>
    <row r="109" spans="1:5" s="3" customFormat="1" ht="30" customHeight="1">
      <c r="A109" s="12" t="s">
        <v>327</v>
      </c>
      <c r="B109" s="18" t="s">
        <v>328</v>
      </c>
      <c r="C109" s="14" t="s">
        <v>329</v>
      </c>
      <c r="D109" s="15" t="s">
        <v>8</v>
      </c>
      <c r="E109" s="16">
        <v>108</v>
      </c>
    </row>
    <row r="110" spans="1:5" s="3" customFormat="1" ht="30" customHeight="1">
      <c r="A110" s="12" t="s">
        <v>330</v>
      </c>
      <c r="B110" s="18" t="s">
        <v>331</v>
      </c>
      <c r="C110" s="14" t="s">
        <v>332</v>
      </c>
      <c r="D110" s="15" t="s">
        <v>8</v>
      </c>
      <c r="E110" s="16">
        <v>109</v>
      </c>
    </row>
    <row r="111" spans="1:5" s="3" customFormat="1" ht="30" customHeight="1">
      <c r="A111" s="12" t="s">
        <v>333</v>
      </c>
      <c r="B111" s="18" t="s">
        <v>334</v>
      </c>
      <c r="C111" s="14" t="s">
        <v>335</v>
      </c>
      <c r="D111" s="15" t="s">
        <v>8</v>
      </c>
      <c r="E111" s="16">
        <v>110</v>
      </c>
    </row>
    <row r="112" spans="1:5" s="3" customFormat="1" ht="30" customHeight="1">
      <c r="A112" s="17" t="s">
        <v>336</v>
      </c>
      <c r="B112" s="18" t="s">
        <v>337</v>
      </c>
      <c r="C112" s="14" t="s">
        <v>338</v>
      </c>
      <c r="D112" s="15" t="s">
        <v>8</v>
      </c>
      <c r="E112" s="16">
        <v>111</v>
      </c>
    </row>
    <row r="113" spans="1:5" s="3" customFormat="1" ht="30" customHeight="1">
      <c r="A113" s="17" t="s">
        <v>339</v>
      </c>
      <c r="B113" s="18" t="s">
        <v>340</v>
      </c>
      <c r="C113" s="14" t="s">
        <v>341</v>
      </c>
      <c r="D113" s="15" t="s">
        <v>8</v>
      </c>
      <c r="E113" s="16">
        <v>112</v>
      </c>
    </row>
    <row r="114" spans="1:5" s="3" customFormat="1" ht="30" customHeight="1">
      <c r="A114" s="17" t="s">
        <v>342</v>
      </c>
      <c r="B114" s="18" t="s">
        <v>343</v>
      </c>
      <c r="C114" s="14" t="s">
        <v>344</v>
      </c>
      <c r="D114" s="15" t="s">
        <v>8</v>
      </c>
      <c r="E114" s="16">
        <v>113</v>
      </c>
    </row>
    <row r="115" spans="1:5" s="3" customFormat="1" ht="30" customHeight="1">
      <c r="A115" s="17" t="s">
        <v>345</v>
      </c>
      <c r="B115" s="18" t="s">
        <v>346</v>
      </c>
      <c r="C115" s="14" t="s">
        <v>347</v>
      </c>
      <c r="D115" s="15" t="s">
        <v>8</v>
      </c>
      <c r="E115" s="16">
        <v>114</v>
      </c>
    </row>
    <row r="116" spans="1:5" s="3" customFormat="1" ht="30" customHeight="1">
      <c r="A116" s="12" t="s">
        <v>348</v>
      </c>
      <c r="B116" s="18" t="s">
        <v>349</v>
      </c>
      <c r="C116" s="14" t="s">
        <v>350</v>
      </c>
      <c r="D116" s="15" t="s">
        <v>8</v>
      </c>
      <c r="E116" s="16">
        <v>115</v>
      </c>
    </row>
    <row r="117" spans="1:5" s="3" customFormat="1" ht="30" customHeight="1">
      <c r="A117" s="12" t="s">
        <v>351</v>
      </c>
      <c r="B117" s="18" t="s">
        <v>352</v>
      </c>
      <c r="C117" s="14" t="s">
        <v>353</v>
      </c>
      <c r="D117" s="15" t="s">
        <v>8</v>
      </c>
      <c r="E117" s="16">
        <v>116</v>
      </c>
    </row>
    <row r="118" spans="1:5" s="3" customFormat="1" ht="30" customHeight="1">
      <c r="A118" s="12" t="s">
        <v>354</v>
      </c>
      <c r="B118" s="18" t="s">
        <v>355</v>
      </c>
      <c r="C118" s="14" t="s">
        <v>356</v>
      </c>
      <c r="D118" s="15" t="s">
        <v>8</v>
      </c>
      <c r="E118" s="16">
        <v>117</v>
      </c>
    </row>
    <row r="119" spans="1:5" s="3" customFormat="1" ht="30" customHeight="1">
      <c r="A119" s="12" t="s">
        <v>357</v>
      </c>
      <c r="B119" s="18" t="s">
        <v>358</v>
      </c>
      <c r="C119" s="14" t="s">
        <v>359</v>
      </c>
      <c r="D119" s="15" t="s">
        <v>8</v>
      </c>
      <c r="E119" s="16">
        <v>118</v>
      </c>
    </row>
    <row r="120" spans="1:5" s="3" customFormat="1" ht="30" customHeight="1">
      <c r="A120" s="17" t="s">
        <v>360</v>
      </c>
      <c r="B120" s="18" t="s">
        <v>361</v>
      </c>
      <c r="C120" s="14" t="s">
        <v>362</v>
      </c>
      <c r="D120" s="15" t="s">
        <v>8</v>
      </c>
      <c r="E120" s="16">
        <v>119</v>
      </c>
    </row>
    <row r="121" spans="1:5" s="3" customFormat="1" ht="30" customHeight="1">
      <c r="A121" s="17" t="s">
        <v>363</v>
      </c>
      <c r="B121" s="18" t="s">
        <v>364</v>
      </c>
      <c r="C121" s="14" t="s">
        <v>365</v>
      </c>
      <c r="D121" s="15" t="s">
        <v>8</v>
      </c>
      <c r="E121" s="16">
        <v>120</v>
      </c>
    </row>
    <row r="122" spans="1:5" s="3" customFormat="1" ht="30" customHeight="1">
      <c r="A122" s="17" t="s">
        <v>366</v>
      </c>
      <c r="B122" s="18" t="s">
        <v>367</v>
      </c>
      <c r="C122" s="14" t="s">
        <v>368</v>
      </c>
      <c r="D122" s="15" t="s">
        <v>8</v>
      </c>
      <c r="E122" s="16">
        <v>121</v>
      </c>
    </row>
    <row r="123" spans="1:5" s="3" customFormat="1" ht="30" customHeight="1">
      <c r="A123" s="17" t="s">
        <v>369</v>
      </c>
      <c r="B123" s="18" t="s">
        <v>370</v>
      </c>
      <c r="C123" s="14" t="s">
        <v>371</v>
      </c>
      <c r="D123" s="15" t="s">
        <v>8</v>
      </c>
      <c r="E123" s="16">
        <v>122</v>
      </c>
    </row>
    <row r="124" spans="1:5" s="3" customFormat="1" ht="30" customHeight="1">
      <c r="A124" s="12" t="s">
        <v>372</v>
      </c>
      <c r="B124" s="18" t="s">
        <v>373</v>
      </c>
      <c r="C124" s="14" t="s">
        <v>374</v>
      </c>
      <c r="D124" s="15" t="s">
        <v>8</v>
      </c>
      <c r="E124" s="16">
        <v>123</v>
      </c>
    </row>
    <row r="125" spans="1:5" s="3" customFormat="1" ht="30" customHeight="1">
      <c r="A125" s="12" t="s">
        <v>375</v>
      </c>
      <c r="B125" s="18" t="s">
        <v>376</v>
      </c>
      <c r="C125" s="14" t="s">
        <v>377</v>
      </c>
      <c r="D125" s="15" t="s">
        <v>8</v>
      </c>
      <c r="E125" s="16">
        <v>124</v>
      </c>
    </row>
    <row r="126" spans="1:5" s="3" customFormat="1" ht="30" customHeight="1">
      <c r="A126" s="12" t="s">
        <v>378</v>
      </c>
      <c r="B126" s="18" t="s">
        <v>379</v>
      </c>
      <c r="C126" s="14" t="s">
        <v>380</v>
      </c>
      <c r="D126" s="15" t="s">
        <v>8</v>
      </c>
      <c r="E126" s="16">
        <v>125</v>
      </c>
    </row>
    <row r="127" spans="1:5" s="3" customFormat="1" ht="30" customHeight="1">
      <c r="A127" s="12" t="s">
        <v>381</v>
      </c>
      <c r="B127" s="18" t="s">
        <v>382</v>
      </c>
      <c r="C127" s="14" t="s">
        <v>383</v>
      </c>
      <c r="D127" s="15" t="s">
        <v>8</v>
      </c>
      <c r="E127" s="16">
        <v>126</v>
      </c>
    </row>
    <row r="128" spans="1:5" s="3" customFormat="1" ht="30" customHeight="1">
      <c r="A128" s="17" t="s">
        <v>384</v>
      </c>
      <c r="B128" s="18" t="s">
        <v>385</v>
      </c>
      <c r="C128" s="14" t="s">
        <v>386</v>
      </c>
      <c r="D128" s="15" t="s">
        <v>8</v>
      </c>
      <c r="E128" s="16">
        <v>127</v>
      </c>
    </row>
    <row r="129" spans="1:5" s="3" customFormat="1" ht="30" customHeight="1">
      <c r="A129" s="17" t="s">
        <v>387</v>
      </c>
      <c r="B129" s="18" t="s">
        <v>388</v>
      </c>
      <c r="C129" s="14" t="s">
        <v>389</v>
      </c>
      <c r="D129" s="15" t="s">
        <v>8</v>
      </c>
      <c r="E129" s="16">
        <v>128</v>
      </c>
    </row>
    <row r="130" spans="1:5" s="3" customFormat="1" ht="30" customHeight="1">
      <c r="A130" s="12" t="s">
        <v>390</v>
      </c>
      <c r="B130" s="18" t="s">
        <v>391</v>
      </c>
      <c r="C130" s="14" t="s">
        <v>392</v>
      </c>
      <c r="D130" s="15" t="s">
        <v>8</v>
      </c>
      <c r="E130" s="16">
        <v>129</v>
      </c>
    </row>
    <row r="131" spans="1:5" s="3" customFormat="1" ht="30" customHeight="1">
      <c r="A131" s="12" t="s">
        <v>393</v>
      </c>
      <c r="B131" s="18" t="s">
        <v>394</v>
      </c>
      <c r="C131" s="14" t="s">
        <v>395</v>
      </c>
      <c r="D131" s="15" t="s">
        <v>8</v>
      </c>
      <c r="E131" s="16">
        <v>130</v>
      </c>
    </row>
    <row r="132" spans="1:5" s="3" customFormat="1" ht="30" customHeight="1">
      <c r="A132" s="12" t="s">
        <v>396</v>
      </c>
      <c r="B132" s="18" t="s">
        <v>397</v>
      </c>
      <c r="C132" s="14" t="s">
        <v>398</v>
      </c>
      <c r="D132" s="15" t="s">
        <v>8</v>
      </c>
      <c r="E132" s="16">
        <v>131</v>
      </c>
    </row>
    <row r="133" spans="1:5" s="3" customFormat="1" ht="30" customHeight="1">
      <c r="A133" s="12" t="s">
        <v>399</v>
      </c>
      <c r="B133" s="18" t="s">
        <v>400</v>
      </c>
      <c r="C133" s="14" t="s">
        <v>401</v>
      </c>
      <c r="D133" s="15" t="s">
        <v>8</v>
      </c>
      <c r="E133" s="16">
        <v>132</v>
      </c>
    </row>
    <row r="134" spans="1:5" s="3" customFormat="1" ht="30" customHeight="1">
      <c r="A134" s="19" t="s">
        <v>402</v>
      </c>
      <c r="B134" s="18" t="s">
        <v>403</v>
      </c>
      <c r="C134" s="14" t="s">
        <v>404</v>
      </c>
      <c r="D134" s="15" t="s">
        <v>8</v>
      </c>
      <c r="E134" s="16">
        <v>133</v>
      </c>
    </row>
    <row r="135" spans="1:5" s="3" customFormat="1" ht="30" customHeight="1">
      <c r="A135" s="19" t="s">
        <v>405</v>
      </c>
      <c r="B135" s="18" t="s">
        <v>406</v>
      </c>
      <c r="C135" s="14" t="s">
        <v>407</v>
      </c>
      <c r="D135" s="15" t="s">
        <v>8</v>
      </c>
      <c r="E135" s="16">
        <v>134</v>
      </c>
    </row>
    <row r="136" spans="1:5" s="3" customFormat="1" ht="30" customHeight="1">
      <c r="A136" s="19" t="s">
        <v>408</v>
      </c>
      <c r="B136" s="18" t="s">
        <v>409</v>
      </c>
      <c r="C136" s="14" t="s">
        <v>410</v>
      </c>
      <c r="D136" s="15" t="s">
        <v>8</v>
      </c>
      <c r="E136" s="16">
        <v>135</v>
      </c>
    </row>
    <row r="137" spans="1:5" s="3" customFormat="1" ht="30" customHeight="1">
      <c r="A137" s="19" t="s">
        <v>411</v>
      </c>
      <c r="B137" s="18" t="s">
        <v>412</v>
      </c>
      <c r="C137" s="14" t="s">
        <v>413</v>
      </c>
      <c r="D137" s="15" t="s">
        <v>8</v>
      </c>
      <c r="E137" s="16">
        <v>136</v>
      </c>
    </row>
    <row r="138" spans="1:5" s="3" customFormat="1" ht="30" customHeight="1">
      <c r="A138" s="12" t="s">
        <v>414</v>
      </c>
      <c r="B138" s="18" t="s">
        <v>415</v>
      </c>
      <c r="C138" s="14" t="s">
        <v>416</v>
      </c>
      <c r="D138" s="15" t="s">
        <v>8</v>
      </c>
      <c r="E138" s="16">
        <v>137</v>
      </c>
    </row>
    <row r="139" spans="1:5" s="3" customFormat="1" ht="30" customHeight="1">
      <c r="A139" s="17" t="s">
        <v>417</v>
      </c>
      <c r="B139" s="18" t="s">
        <v>418</v>
      </c>
      <c r="C139" s="14" t="s">
        <v>419</v>
      </c>
      <c r="D139" s="15" t="s">
        <v>8</v>
      </c>
      <c r="E139" s="16">
        <v>138</v>
      </c>
    </row>
    <row r="140" spans="1:5" s="3" customFormat="1" ht="30" customHeight="1">
      <c r="A140" s="17" t="s">
        <v>420</v>
      </c>
      <c r="B140" s="18" t="s">
        <v>421</v>
      </c>
      <c r="C140" s="14" t="s">
        <v>422</v>
      </c>
      <c r="D140" s="15" t="s">
        <v>8</v>
      </c>
      <c r="E140" s="16">
        <v>139</v>
      </c>
    </row>
    <row r="141" spans="1:5" s="3" customFormat="1" ht="30" customHeight="1">
      <c r="A141" s="17" t="s">
        <v>423</v>
      </c>
      <c r="B141" s="18" t="s">
        <v>424</v>
      </c>
      <c r="C141" s="14" t="s">
        <v>425</v>
      </c>
      <c r="D141" s="15" t="s">
        <v>8</v>
      </c>
      <c r="E141" s="16">
        <v>140</v>
      </c>
    </row>
    <row r="142" spans="1:5" s="3" customFormat="1" ht="30" customHeight="1">
      <c r="A142" s="17" t="s">
        <v>426</v>
      </c>
      <c r="B142" s="18" t="s">
        <v>427</v>
      </c>
      <c r="C142" s="14" t="s">
        <v>428</v>
      </c>
      <c r="D142" s="15" t="s">
        <v>8</v>
      </c>
      <c r="E142" s="16">
        <v>141</v>
      </c>
    </row>
    <row r="143" spans="1:5" s="3" customFormat="1" ht="30" customHeight="1">
      <c r="A143" s="12" t="s">
        <v>429</v>
      </c>
      <c r="B143" s="18" t="s">
        <v>430</v>
      </c>
      <c r="C143" s="14" t="s">
        <v>431</v>
      </c>
      <c r="D143" s="15" t="s">
        <v>8</v>
      </c>
      <c r="E143" s="16">
        <v>142</v>
      </c>
    </row>
    <row r="144" spans="1:5" s="3" customFormat="1" ht="30" customHeight="1">
      <c r="A144" s="12" t="s">
        <v>432</v>
      </c>
      <c r="B144" s="18" t="s">
        <v>433</v>
      </c>
      <c r="C144" s="14" t="s">
        <v>434</v>
      </c>
      <c r="D144" s="15" t="s">
        <v>8</v>
      </c>
      <c r="E144" s="16">
        <v>143</v>
      </c>
    </row>
    <row r="145" spans="1:5" s="3" customFormat="1" ht="30" customHeight="1">
      <c r="A145" s="20" t="s">
        <v>435</v>
      </c>
      <c r="B145" s="21" t="s">
        <v>436</v>
      </c>
      <c r="C145" s="22" t="s">
        <v>437</v>
      </c>
      <c r="D145" s="23" t="s">
        <v>438</v>
      </c>
      <c r="E145" s="16">
        <v>144</v>
      </c>
    </row>
    <row r="146" spans="1:5" ht="30" customHeight="1">
      <c r="A146" s="20" t="s">
        <v>439</v>
      </c>
      <c r="B146" s="21" t="s">
        <v>440</v>
      </c>
      <c r="C146" s="22" t="s">
        <v>441</v>
      </c>
      <c r="D146" s="23" t="s">
        <v>438</v>
      </c>
      <c r="E146" s="16">
        <v>145</v>
      </c>
    </row>
    <row r="147" spans="1:5" ht="30" customHeight="1">
      <c r="A147" s="20" t="s">
        <v>442</v>
      </c>
      <c r="B147" s="21" t="s">
        <v>443</v>
      </c>
      <c r="C147" s="22" t="s">
        <v>444</v>
      </c>
      <c r="D147" s="23" t="s">
        <v>438</v>
      </c>
      <c r="E147" s="16">
        <v>146</v>
      </c>
    </row>
    <row r="148" spans="1:5" ht="30" customHeight="1">
      <c r="A148" s="20" t="s">
        <v>445</v>
      </c>
      <c r="B148" s="21" t="s">
        <v>446</v>
      </c>
      <c r="C148" s="22" t="s">
        <v>447</v>
      </c>
      <c r="D148" s="23" t="s">
        <v>438</v>
      </c>
      <c r="E148" s="16">
        <v>147</v>
      </c>
    </row>
    <row r="149" spans="1:5" ht="30" customHeight="1">
      <c r="A149" s="24" t="s">
        <v>448</v>
      </c>
      <c r="B149" s="21" t="s">
        <v>449</v>
      </c>
      <c r="C149" s="22" t="s">
        <v>450</v>
      </c>
      <c r="D149" s="23" t="s">
        <v>438</v>
      </c>
      <c r="E149" s="16">
        <v>148</v>
      </c>
    </row>
    <row r="150" spans="1:5" ht="30" customHeight="1">
      <c r="A150" s="24" t="s">
        <v>451</v>
      </c>
      <c r="B150" s="21" t="s">
        <v>452</v>
      </c>
      <c r="C150" s="22" t="s">
        <v>453</v>
      </c>
      <c r="D150" s="23" t="s">
        <v>438</v>
      </c>
      <c r="E150" s="16">
        <v>149</v>
      </c>
    </row>
    <row r="151" spans="1:5" ht="30" customHeight="1">
      <c r="A151" s="24" t="s">
        <v>454</v>
      </c>
      <c r="B151" s="21" t="s">
        <v>455</v>
      </c>
      <c r="C151" s="22" t="s">
        <v>456</v>
      </c>
      <c r="D151" s="23" t="s">
        <v>438</v>
      </c>
      <c r="E151" s="16">
        <v>150</v>
      </c>
    </row>
    <row r="152" spans="1:5" ht="30" customHeight="1">
      <c r="A152" s="24" t="s">
        <v>457</v>
      </c>
      <c r="B152" s="21" t="s">
        <v>458</v>
      </c>
      <c r="C152" s="22" t="s">
        <v>459</v>
      </c>
      <c r="D152" s="23" t="s">
        <v>438</v>
      </c>
      <c r="E152" s="16">
        <v>151</v>
      </c>
    </row>
    <row r="153" spans="1:5" ht="30" customHeight="1">
      <c r="A153" s="20" t="s">
        <v>460</v>
      </c>
      <c r="B153" s="21" t="s">
        <v>461</v>
      </c>
      <c r="C153" s="22" t="s">
        <v>462</v>
      </c>
      <c r="D153" s="23" t="s">
        <v>438</v>
      </c>
      <c r="E153" s="16">
        <v>152</v>
      </c>
    </row>
    <row r="154" spans="1:5" ht="30" customHeight="1">
      <c r="A154" s="20" t="s">
        <v>463</v>
      </c>
      <c r="B154" s="21" t="s">
        <v>464</v>
      </c>
      <c r="C154" s="22" t="s">
        <v>465</v>
      </c>
      <c r="D154" s="23" t="s">
        <v>438</v>
      </c>
      <c r="E154" s="16">
        <v>153</v>
      </c>
    </row>
    <row r="155" spans="1:5" ht="30" customHeight="1">
      <c r="A155" s="20" t="s">
        <v>466</v>
      </c>
      <c r="B155" s="21" t="s">
        <v>467</v>
      </c>
      <c r="C155" s="22" t="s">
        <v>468</v>
      </c>
      <c r="D155" s="23" t="s">
        <v>438</v>
      </c>
      <c r="E155" s="16">
        <v>154</v>
      </c>
    </row>
    <row r="156" spans="1:5" ht="30" customHeight="1">
      <c r="A156" s="20" t="s">
        <v>469</v>
      </c>
      <c r="B156" s="21" t="s">
        <v>470</v>
      </c>
      <c r="C156" s="22" t="s">
        <v>471</v>
      </c>
      <c r="D156" s="23" t="s">
        <v>438</v>
      </c>
      <c r="E156" s="16">
        <v>155</v>
      </c>
    </row>
    <row r="157" spans="1:5" ht="30" customHeight="1">
      <c r="A157" s="24" t="s">
        <v>472</v>
      </c>
      <c r="B157" s="21" t="s">
        <v>473</v>
      </c>
      <c r="C157" s="22" t="s">
        <v>474</v>
      </c>
      <c r="D157" s="23" t="s">
        <v>438</v>
      </c>
      <c r="E157" s="16">
        <v>156</v>
      </c>
    </row>
    <row r="158" spans="1:5" ht="30" customHeight="1">
      <c r="A158" s="24" t="s">
        <v>475</v>
      </c>
      <c r="B158" s="21" t="s">
        <v>476</v>
      </c>
      <c r="C158" s="22" t="s">
        <v>477</v>
      </c>
      <c r="D158" s="23" t="s">
        <v>438</v>
      </c>
      <c r="E158" s="16">
        <v>157</v>
      </c>
    </row>
    <row r="159" spans="1:5" ht="30" customHeight="1">
      <c r="A159" s="24" t="s">
        <v>478</v>
      </c>
      <c r="B159" s="21" t="s">
        <v>479</v>
      </c>
      <c r="C159" s="22" t="s">
        <v>480</v>
      </c>
      <c r="D159" s="23" t="s">
        <v>438</v>
      </c>
      <c r="E159" s="16">
        <v>158</v>
      </c>
    </row>
    <row r="160" spans="1:5" ht="30" customHeight="1">
      <c r="A160" s="24" t="s">
        <v>481</v>
      </c>
      <c r="B160" s="21" t="s">
        <v>482</v>
      </c>
      <c r="C160" s="22" t="s">
        <v>483</v>
      </c>
      <c r="D160" s="23" t="s">
        <v>438</v>
      </c>
      <c r="E160" s="16">
        <v>159</v>
      </c>
    </row>
    <row r="161" spans="1:5" ht="30" customHeight="1">
      <c r="A161" s="25" t="s">
        <v>484</v>
      </c>
      <c r="B161" s="26" t="s">
        <v>485</v>
      </c>
      <c r="C161" s="27" t="s">
        <v>486</v>
      </c>
      <c r="D161" s="28" t="s">
        <v>438</v>
      </c>
      <c r="E161" s="29">
        <v>160</v>
      </c>
    </row>
    <row r="162" spans="1:5" s="3" customFormat="1" ht="30" customHeight="1">
      <c r="A162" s="25" t="s">
        <v>487</v>
      </c>
      <c r="B162" s="26" t="s">
        <v>488</v>
      </c>
      <c r="C162" s="27" t="s">
        <v>489</v>
      </c>
      <c r="D162" s="28" t="s">
        <v>438</v>
      </c>
      <c r="E162" s="29">
        <v>161</v>
      </c>
    </row>
    <row r="163" spans="1:5" s="3" customFormat="1" ht="30" customHeight="1">
      <c r="A163" s="25" t="s">
        <v>490</v>
      </c>
      <c r="B163" s="26" t="s">
        <v>491</v>
      </c>
      <c r="C163" s="27" t="s">
        <v>492</v>
      </c>
      <c r="D163" s="28" t="s">
        <v>438</v>
      </c>
      <c r="E163" s="29">
        <v>162</v>
      </c>
    </row>
    <row r="164" spans="1:5" s="3" customFormat="1" ht="30" customHeight="1">
      <c r="A164" s="25" t="s">
        <v>493</v>
      </c>
      <c r="B164" s="26" t="s">
        <v>494</v>
      </c>
      <c r="C164" s="27" t="s">
        <v>495</v>
      </c>
      <c r="D164" s="28" t="s">
        <v>438</v>
      </c>
      <c r="E164" s="29">
        <v>163</v>
      </c>
    </row>
    <row r="165" spans="1:5" s="3" customFormat="1" ht="30" customHeight="1">
      <c r="A165" s="24" t="s">
        <v>496</v>
      </c>
      <c r="B165" s="21" t="s">
        <v>497</v>
      </c>
      <c r="C165" s="22" t="s">
        <v>498</v>
      </c>
      <c r="D165" s="23" t="s">
        <v>438</v>
      </c>
      <c r="E165" s="16">
        <v>164</v>
      </c>
    </row>
    <row r="166" spans="1:5" s="3" customFormat="1" ht="30" customHeight="1">
      <c r="A166" s="24" t="s">
        <v>499</v>
      </c>
      <c r="B166" s="21" t="s">
        <v>500</v>
      </c>
      <c r="C166" s="22" t="s">
        <v>501</v>
      </c>
      <c r="D166" s="23" t="s">
        <v>438</v>
      </c>
      <c r="E166" s="16">
        <v>165</v>
      </c>
    </row>
    <row r="167" spans="1:5" s="3" customFormat="1" ht="30" customHeight="1">
      <c r="A167" s="24" t="s">
        <v>502</v>
      </c>
      <c r="B167" s="21" t="s">
        <v>503</v>
      </c>
      <c r="C167" s="22" t="s">
        <v>504</v>
      </c>
      <c r="D167" s="23" t="s">
        <v>438</v>
      </c>
      <c r="E167" s="16">
        <v>166</v>
      </c>
    </row>
    <row r="168" spans="1:5" s="3" customFormat="1" ht="30" customHeight="1">
      <c r="A168" s="24" t="s">
        <v>505</v>
      </c>
      <c r="B168" s="21" t="s">
        <v>506</v>
      </c>
      <c r="C168" s="22" t="s">
        <v>507</v>
      </c>
      <c r="D168" s="23" t="s">
        <v>438</v>
      </c>
      <c r="E168" s="16">
        <v>167</v>
      </c>
    </row>
    <row r="169" spans="1:5" s="3" customFormat="1" ht="30" customHeight="1">
      <c r="A169" s="20" t="s">
        <v>508</v>
      </c>
      <c r="B169" s="21" t="s">
        <v>509</v>
      </c>
      <c r="C169" s="22" t="s">
        <v>510</v>
      </c>
      <c r="D169" s="23" t="s">
        <v>438</v>
      </c>
      <c r="E169" s="16">
        <v>168</v>
      </c>
    </row>
    <row r="170" spans="1:5" s="3" customFormat="1" ht="30" customHeight="1">
      <c r="A170" s="20" t="s">
        <v>511</v>
      </c>
      <c r="B170" s="21" t="s">
        <v>512</v>
      </c>
      <c r="C170" s="22" t="s">
        <v>513</v>
      </c>
      <c r="D170" s="23" t="s">
        <v>438</v>
      </c>
      <c r="E170" s="16">
        <v>169</v>
      </c>
    </row>
    <row r="171" spans="1:5" s="3" customFormat="1" ht="30" customHeight="1">
      <c r="A171" s="20" t="s">
        <v>514</v>
      </c>
      <c r="B171" s="21" t="s">
        <v>515</v>
      </c>
      <c r="C171" s="22" t="s">
        <v>516</v>
      </c>
      <c r="D171" s="23" t="s">
        <v>438</v>
      </c>
      <c r="E171" s="16">
        <v>170</v>
      </c>
    </row>
    <row r="172" spans="1:5" s="3" customFormat="1" ht="30" customHeight="1">
      <c r="A172" s="20" t="s">
        <v>517</v>
      </c>
      <c r="B172" s="21" t="s">
        <v>518</v>
      </c>
      <c r="C172" s="22" t="s">
        <v>519</v>
      </c>
      <c r="D172" s="23" t="s">
        <v>438</v>
      </c>
      <c r="E172" s="16">
        <v>171</v>
      </c>
    </row>
    <row r="173" spans="1:5" s="3" customFormat="1" ht="30" customHeight="1">
      <c r="A173" s="24" t="s">
        <v>520</v>
      </c>
      <c r="B173" s="21" t="s">
        <v>521</v>
      </c>
      <c r="C173" s="22" t="s">
        <v>522</v>
      </c>
      <c r="D173" s="23" t="s">
        <v>438</v>
      </c>
      <c r="E173" s="16">
        <v>172</v>
      </c>
    </row>
    <row r="174" spans="1:5" s="3" customFormat="1" ht="30" customHeight="1">
      <c r="A174" s="24" t="s">
        <v>523</v>
      </c>
      <c r="B174" s="21" t="s">
        <v>524</v>
      </c>
      <c r="C174" s="22" t="s">
        <v>525</v>
      </c>
      <c r="D174" s="23" t="s">
        <v>438</v>
      </c>
      <c r="E174" s="16">
        <v>173</v>
      </c>
    </row>
    <row r="175" spans="1:5" s="3" customFormat="1" ht="30" customHeight="1">
      <c r="A175" s="24" t="s">
        <v>526</v>
      </c>
      <c r="B175" s="21" t="s">
        <v>527</v>
      </c>
      <c r="C175" s="22" t="s">
        <v>528</v>
      </c>
      <c r="D175" s="23" t="s">
        <v>438</v>
      </c>
      <c r="E175" s="16">
        <v>174</v>
      </c>
    </row>
    <row r="176" spans="1:5" s="3" customFormat="1" ht="30" customHeight="1">
      <c r="A176" s="24" t="s">
        <v>529</v>
      </c>
      <c r="B176" s="21" t="s">
        <v>530</v>
      </c>
      <c r="C176" s="22" t="s">
        <v>531</v>
      </c>
      <c r="D176" s="23" t="s">
        <v>438</v>
      </c>
      <c r="E176" s="16">
        <v>175</v>
      </c>
    </row>
    <row r="177" spans="1:5" s="3" customFormat="1" ht="30" customHeight="1">
      <c r="A177" s="20" t="s">
        <v>532</v>
      </c>
      <c r="B177" s="21" t="s">
        <v>533</v>
      </c>
      <c r="C177" s="22" t="s">
        <v>534</v>
      </c>
      <c r="D177" s="23" t="s">
        <v>438</v>
      </c>
      <c r="E177" s="16">
        <v>176</v>
      </c>
    </row>
    <row r="178" spans="1:5" s="3" customFormat="1" ht="30" customHeight="1">
      <c r="A178" s="20" t="s">
        <v>535</v>
      </c>
      <c r="B178" s="21" t="s">
        <v>536</v>
      </c>
      <c r="C178" s="22" t="s">
        <v>537</v>
      </c>
      <c r="D178" s="23" t="s">
        <v>438</v>
      </c>
      <c r="E178" s="16">
        <v>177</v>
      </c>
    </row>
    <row r="179" spans="1:5" s="3" customFormat="1" ht="30" customHeight="1">
      <c r="A179" s="20" t="s">
        <v>538</v>
      </c>
      <c r="B179" s="21" t="s">
        <v>539</v>
      </c>
      <c r="C179" s="22" t="s">
        <v>540</v>
      </c>
      <c r="D179" s="23" t="s">
        <v>438</v>
      </c>
      <c r="E179" s="16">
        <v>178</v>
      </c>
    </row>
    <row r="180" spans="1:5" s="3" customFormat="1" ht="30" customHeight="1">
      <c r="A180" s="20" t="s">
        <v>541</v>
      </c>
      <c r="B180" s="21" t="s">
        <v>542</v>
      </c>
      <c r="C180" s="22" t="s">
        <v>543</v>
      </c>
      <c r="D180" s="23" t="s">
        <v>438</v>
      </c>
      <c r="E180" s="16">
        <v>179</v>
      </c>
    </row>
    <row r="181" spans="1:5" s="3" customFormat="1" ht="30" customHeight="1">
      <c r="A181" s="24" t="s">
        <v>544</v>
      </c>
      <c r="B181" s="21" t="s">
        <v>545</v>
      </c>
      <c r="C181" s="22" t="s">
        <v>546</v>
      </c>
      <c r="D181" s="23" t="s">
        <v>438</v>
      </c>
      <c r="E181" s="16">
        <v>180</v>
      </c>
    </row>
    <row r="182" spans="1:5" s="3" customFormat="1" ht="30" customHeight="1">
      <c r="A182" s="24" t="s">
        <v>547</v>
      </c>
      <c r="B182" s="21" t="s">
        <v>548</v>
      </c>
      <c r="C182" s="22" t="s">
        <v>549</v>
      </c>
      <c r="D182" s="23" t="s">
        <v>438</v>
      </c>
      <c r="E182" s="16">
        <v>181</v>
      </c>
    </row>
    <row r="183" spans="1:5" s="3" customFormat="1" ht="30" customHeight="1">
      <c r="A183" s="24" t="s">
        <v>550</v>
      </c>
      <c r="B183" s="21" t="s">
        <v>551</v>
      </c>
      <c r="C183" s="22" t="s">
        <v>552</v>
      </c>
      <c r="D183" s="23" t="s">
        <v>438</v>
      </c>
      <c r="E183" s="16">
        <v>182</v>
      </c>
    </row>
    <row r="184" spans="1:5" s="3" customFormat="1" ht="30" customHeight="1">
      <c r="A184" s="24" t="s">
        <v>553</v>
      </c>
      <c r="B184" s="21" t="s">
        <v>554</v>
      </c>
      <c r="C184" s="22" t="s">
        <v>555</v>
      </c>
      <c r="D184" s="23" t="s">
        <v>438</v>
      </c>
      <c r="E184" s="16">
        <v>183</v>
      </c>
    </row>
    <row r="185" spans="1:5" s="3" customFormat="1" ht="30" customHeight="1">
      <c r="A185" s="20" t="s">
        <v>556</v>
      </c>
      <c r="B185" s="21" t="s">
        <v>557</v>
      </c>
      <c r="C185" s="22" t="s">
        <v>558</v>
      </c>
      <c r="D185" s="23" t="s">
        <v>438</v>
      </c>
      <c r="E185" s="16">
        <v>184</v>
      </c>
    </row>
    <row r="186" spans="1:5" ht="30" customHeight="1">
      <c r="A186" s="20" t="s">
        <v>559</v>
      </c>
      <c r="B186" s="21" t="s">
        <v>560</v>
      </c>
      <c r="C186" s="22" t="s">
        <v>561</v>
      </c>
      <c r="D186" s="23" t="s">
        <v>438</v>
      </c>
      <c r="E186" s="16">
        <v>185</v>
      </c>
    </row>
    <row r="187" spans="1:5" ht="30" customHeight="1">
      <c r="A187" s="20" t="s">
        <v>562</v>
      </c>
      <c r="B187" s="21" t="s">
        <v>563</v>
      </c>
      <c r="C187" s="22" t="s">
        <v>564</v>
      </c>
      <c r="D187" s="23" t="s">
        <v>438</v>
      </c>
      <c r="E187" s="16">
        <v>186</v>
      </c>
    </row>
    <row r="188" spans="1:5" ht="30" customHeight="1">
      <c r="A188" s="20" t="s">
        <v>565</v>
      </c>
      <c r="B188" s="21" t="s">
        <v>566</v>
      </c>
      <c r="C188" s="22" t="s">
        <v>567</v>
      </c>
      <c r="D188" s="23" t="s">
        <v>438</v>
      </c>
      <c r="E188" s="16">
        <v>187</v>
      </c>
    </row>
    <row r="189" spans="1:5" ht="30" customHeight="1">
      <c r="A189" s="24" t="s">
        <v>568</v>
      </c>
      <c r="B189" s="21" t="s">
        <v>569</v>
      </c>
      <c r="C189" s="22" t="s">
        <v>570</v>
      </c>
      <c r="D189" s="23" t="s">
        <v>438</v>
      </c>
      <c r="E189" s="16">
        <v>188</v>
      </c>
    </row>
    <row r="190" spans="1:5" ht="30" customHeight="1">
      <c r="A190" s="24" t="s">
        <v>571</v>
      </c>
      <c r="B190" s="21" t="s">
        <v>572</v>
      </c>
      <c r="C190" s="22" t="s">
        <v>573</v>
      </c>
      <c r="D190" s="23" t="s">
        <v>438</v>
      </c>
      <c r="E190" s="16">
        <v>189</v>
      </c>
    </row>
    <row r="191" spans="1:5" ht="30" customHeight="1">
      <c r="A191" s="24" t="s">
        <v>574</v>
      </c>
      <c r="B191" s="21" t="s">
        <v>575</v>
      </c>
      <c r="C191" s="22" t="s">
        <v>576</v>
      </c>
      <c r="D191" s="23" t="s">
        <v>438</v>
      </c>
      <c r="E191" s="16">
        <v>190</v>
      </c>
    </row>
    <row r="192" spans="1:5" ht="30" customHeight="1">
      <c r="A192" s="24" t="s">
        <v>577</v>
      </c>
      <c r="B192" s="21" t="s">
        <v>578</v>
      </c>
      <c r="C192" s="22" t="s">
        <v>579</v>
      </c>
      <c r="D192" s="23" t="s">
        <v>438</v>
      </c>
      <c r="E192" s="16">
        <v>191</v>
      </c>
    </row>
    <row r="193" spans="1:5" ht="30" customHeight="1">
      <c r="A193" s="20" t="s">
        <v>580</v>
      </c>
      <c r="B193" s="21" t="s">
        <v>581</v>
      </c>
      <c r="C193" s="22" t="s">
        <v>582</v>
      </c>
      <c r="D193" s="23" t="s">
        <v>438</v>
      </c>
      <c r="E193" s="16">
        <v>192</v>
      </c>
    </row>
    <row r="194" spans="1:5" ht="30" customHeight="1">
      <c r="A194" s="20" t="s">
        <v>583</v>
      </c>
      <c r="B194" s="21" t="s">
        <v>584</v>
      </c>
      <c r="C194" s="22" t="s">
        <v>585</v>
      </c>
      <c r="D194" s="23" t="s">
        <v>438</v>
      </c>
      <c r="E194" s="16">
        <v>193</v>
      </c>
    </row>
    <row r="195" spans="1:5" ht="30" customHeight="1">
      <c r="A195" s="20" t="s">
        <v>586</v>
      </c>
      <c r="B195" s="21" t="s">
        <v>587</v>
      </c>
      <c r="C195" s="22" t="s">
        <v>588</v>
      </c>
      <c r="D195" s="23" t="s">
        <v>438</v>
      </c>
      <c r="E195" s="16">
        <v>194</v>
      </c>
    </row>
    <row r="196" spans="1:5" ht="30" customHeight="1">
      <c r="A196" s="20" t="s">
        <v>589</v>
      </c>
      <c r="B196" s="21" t="s">
        <v>590</v>
      </c>
      <c r="C196" s="22" t="s">
        <v>591</v>
      </c>
      <c r="D196" s="23" t="s">
        <v>438</v>
      </c>
      <c r="E196" s="16">
        <v>195</v>
      </c>
    </row>
    <row r="197" spans="1:5" ht="30" customHeight="1">
      <c r="A197" s="24" t="s">
        <v>592</v>
      </c>
      <c r="B197" s="21" t="s">
        <v>593</v>
      </c>
      <c r="C197" s="22" t="s">
        <v>594</v>
      </c>
      <c r="D197" s="23" t="s">
        <v>438</v>
      </c>
      <c r="E197" s="16">
        <v>196</v>
      </c>
    </row>
    <row r="198" spans="1:5" ht="30" customHeight="1">
      <c r="A198" s="24" t="s">
        <v>595</v>
      </c>
      <c r="B198" s="21" t="s">
        <v>596</v>
      </c>
      <c r="C198" s="22" t="s">
        <v>597</v>
      </c>
      <c r="D198" s="23" t="s">
        <v>438</v>
      </c>
      <c r="E198" s="16">
        <v>197</v>
      </c>
    </row>
    <row r="199" spans="1:5" ht="30" customHeight="1">
      <c r="A199" s="24" t="s">
        <v>598</v>
      </c>
      <c r="B199" s="21" t="s">
        <v>599</v>
      </c>
      <c r="C199" s="22" t="s">
        <v>600</v>
      </c>
      <c r="D199" s="23" t="s">
        <v>438</v>
      </c>
      <c r="E199" s="16">
        <v>198</v>
      </c>
    </row>
    <row r="200" spans="1:5" ht="30" customHeight="1">
      <c r="A200" s="24" t="s">
        <v>601</v>
      </c>
      <c r="B200" s="21" t="s">
        <v>602</v>
      </c>
      <c r="C200" s="22" t="s">
        <v>603</v>
      </c>
      <c r="D200" s="23" t="s">
        <v>438</v>
      </c>
      <c r="E200" s="16">
        <v>199</v>
      </c>
    </row>
    <row r="201" spans="1:5" ht="30" customHeight="1">
      <c r="A201" s="20" t="s">
        <v>604</v>
      </c>
      <c r="B201" s="21" t="s">
        <v>605</v>
      </c>
      <c r="C201" s="22" t="s">
        <v>606</v>
      </c>
      <c r="D201" s="23" t="s">
        <v>438</v>
      </c>
      <c r="E201" s="16">
        <v>200</v>
      </c>
    </row>
    <row r="202" spans="1:5" ht="30" customHeight="1">
      <c r="A202" s="20" t="s">
        <v>607</v>
      </c>
      <c r="B202" s="21" t="s">
        <v>608</v>
      </c>
      <c r="C202" s="22" t="s">
        <v>609</v>
      </c>
      <c r="D202" s="23" t="s">
        <v>438</v>
      </c>
      <c r="E202" s="16">
        <v>201</v>
      </c>
    </row>
    <row r="203" spans="1:5" ht="30" customHeight="1">
      <c r="A203" s="20" t="s">
        <v>610</v>
      </c>
      <c r="B203" s="21" t="s">
        <v>611</v>
      </c>
      <c r="C203" s="22" t="s">
        <v>612</v>
      </c>
      <c r="D203" s="23" t="s">
        <v>438</v>
      </c>
      <c r="E203" s="16">
        <v>202</v>
      </c>
    </row>
    <row r="204" spans="1:5" ht="30" customHeight="1">
      <c r="A204" s="20" t="s">
        <v>613</v>
      </c>
      <c r="B204" s="21" t="s">
        <v>614</v>
      </c>
      <c r="C204" s="22" t="s">
        <v>615</v>
      </c>
      <c r="D204" s="23" t="s">
        <v>438</v>
      </c>
      <c r="E204" s="16">
        <v>203</v>
      </c>
    </row>
    <row r="205" spans="1:5" ht="30" customHeight="1">
      <c r="A205" s="24" t="s">
        <v>616</v>
      </c>
      <c r="B205" s="21" t="s">
        <v>617</v>
      </c>
      <c r="C205" s="22" t="s">
        <v>618</v>
      </c>
      <c r="D205" s="23" t="s">
        <v>438</v>
      </c>
      <c r="E205" s="16">
        <v>204</v>
      </c>
    </row>
    <row r="206" spans="1:5" ht="30" customHeight="1">
      <c r="A206" s="24" t="s">
        <v>619</v>
      </c>
      <c r="B206" s="21" t="s">
        <v>620</v>
      </c>
      <c r="C206" s="22" t="s">
        <v>621</v>
      </c>
      <c r="D206" s="23" t="s">
        <v>438</v>
      </c>
      <c r="E206" s="16">
        <v>205</v>
      </c>
    </row>
    <row r="207" spans="1:5" ht="30" customHeight="1">
      <c r="A207" s="24" t="s">
        <v>622</v>
      </c>
      <c r="B207" s="21" t="s">
        <v>623</v>
      </c>
      <c r="C207" s="22" t="s">
        <v>624</v>
      </c>
      <c r="D207" s="23" t="s">
        <v>438</v>
      </c>
      <c r="E207" s="16">
        <v>206</v>
      </c>
    </row>
    <row r="208" spans="1:5" ht="30" customHeight="1">
      <c r="A208" s="24" t="s">
        <v>625</v>
      </c>
      <c r="B208" s="21" t="s">
        <v>626</v>
      </c>
      <c r="C208" s="22" t="s">
        <v>627</v>
      </c>
      <c r="D208" s="23" t="s">
        <v>438</v>
      </c>
      <c r="E208" s="16">
        <v>207</v>
      </c>
    </row>
    <row r="209" spans="1:5" ht="30" customHeight="1">
      <c r="A209" s="20" t="s">
        <v>628</v>
      </c>
      <c r="B209" s="21" t="s">
        <v>629</v>
      </c>
      <c r="C209" s="22" t="s">
        <v>630</v>
      </c>
      <c r="D209" s="23" t="s">
        <v>438</v>
      </c>
      <c r="E209" s="16">
        <v>208</v>
      </c>
    </row>
    <row r="210" spans="1:5" ht="30" customHeight="1">
      <c r="A210" s="20" t="s">
        <v>631</v>
      </c>
      <c r="B210" s="21" t="s">
        <v>632</v>
      </c>
      <c r="C210" s="22" t="s">
        <v>633</v>
      </c>
      <c r="D210" s="23" t="s">
        <v>438</v>
      </c>
      <c r="E210" s="16">
        <v>209</v>
      </c>
    </row>
    <row r="211" spans="1:5" ht="30" customHeight="1">
      <c r="A211" s="20" t="s">
        <v>634</v>
      </c>
      <c r="B211" s="21" t="s">
        <v>635</v>
      </c>
      <c r="C211" s="22" t="s">
        <v>636</v>
      </c>
      <c r="D211" s="23" t="s">
        <v>438</v>
      </c>
      <c r="E211" s="16">
        <v>210</v>
      </c>
    </row>
    <row r="212" spans="1:5" ht="30" customHeight="1">
      <c r="A212" s="20" t="s">
        <v>637</v>
      </c>
      <c r="B212" s="21" t="s">
        <v>638</v>
      </c>
      <c r="C212" s="22" t="s">
        <v>639</v>
      </c>
      <c r="D212" s="23" t="s">
        <v>438</v>
      </c>
      <c r="E212" s="16">
        <v>211</v>
      </c>
    </row>
    <row r="213" spans="1:5" ht="30" customHeight="1">
      <c r="A213" s="30" t="s">
        <v>640</v>
      </c>
      <c r="B213" s="31" t="s">
        <v>641</v>
      </c>
      <c r="C213" s="14" t="s">
        <v>642</v>
      </c>
      <c r="D213" s="15" t="s">
        <v>643</v>
      </c>
      <c r="E213" s="16">
        <v>212</v>
      </c>
    </row>
    <row r="214" spans="1:5" ht="30" customHeight="1">
      <c r="A214" s="30" t="s">
        <v>644</v>
      </c>
      <c r="B214" s="31" t="s">
        <v>645</v>
      </c>
      <c r="C214" s="14" t="s">
        <v>646</v>
      </c>
      <c r="D214" s="15" t="s">
        <v>643</v>
      </c>
      <c r="E214" s="16">
        <v>213</v>
      </c>
    </row>
    <row r="215" spans="1:5" ht="30" customHeight="1">
      <c r="A215" s="30" t="s">
        <v>647</v>
      </c>
      <c r="B215" s="31" t="s">
        <v>648</v>
      </c>
      <c r="C215" s="14" t="s">
        <v>649</v>
      </c>
      <c r="D215" s="15" t="s">
        <v>643</v>
      </c>
      <c r="E215" s="16">
        <v>214</v>
      </c>
    </row>
    <row r="216" spans="1:5" ht="30" customHeight="1">
      <c r="A216" s="30" t="s">
        <v>650</v>
      </c>
      <c r="B216" s="31" t="s">
        <v>651</v>
      </c>
      <c r="C216" s="14" t="s">
        <v>652</v>
      </c>
      <c r="D216" s="15" t="s">
        <v>643</v>
      </c>
      <c r="E216" s="16">
        <v>215</v>
      </c>
    </row>
    <row r="217" spans="1:5" ht="30" customHeight="1">
      <c r="A217" s="30" t="s">
        <v>653</v>
      </c>
      <c r="B217" s="31" t="s">
        <v>654</v>
      </c>
      <c r="C217" s="14" t="s">
        <v>655</v>
      </c>
      <c r="D217" s="15" t="s">
        <v>643</v>
      </c>
      <c r="E217" s="16">
        <v>216</v>
      </c>
    </row>
    <row r="218" spans="1:5" ht="30" customHeight="1">
      <c r="A218" s="30" t="s">
        <v>656</v>
      </c>
      <c r="B218" s="31" t="s">
        <v>657</v>
      </c>
      <c r="C218" s="14" t="s">
        <v>658</v>
      </c>
      <c r="D218" s="15" t="s">
        <v>643</v>
      </c>
      <c r="E218" s="16">
        <v>217</v>
      </c>
    </row>
    <row r="219" spans="1:5" ht="30" customHeight="1">
      <c r="A219" s="30" t="s">
        <v>659</v>
      </c>
      <c r="B219" s="31" t="s">
        <v>660</v>
      </c>
      <c r="C219" s="14" t="s">
        <v>661</v>
      </c>
      <c r="D219" s="15" t="s">
        <v>643</v>
      </c>
      <c r="E219" s="16">
        <v>218</v>
      </c>
    </row>
    <row r="220" spans="1:5" ht="30" customHeight="1">
      <c r="A220" s="30" t="s">
        <v>662</v>
      </c>
      <c r="B220" s="31" t="s">
        <v>663</v>
      </c>
      <c r="C220" s="14" t="s">
        <v>664</v>
      </c>
      <c r="D220" s="15" t="s">
        <v>643</v>
      </c>
      <c r="E220" s="16">
        <v>219</v>
      </c>
    </row>
    <row r="221" spans="1:5" ht="30" customHeight="1">
      <c r="A221" s="30" t="s">
        <v>665</v>
      </c>
      <c r="B221" s="31" t="s">
        <v>666</v>
      </c>
      <c r="C221" s="14" t="s">
        <v>667</v>
      </c>
      <c r="D221" s="15" t="s">
        <v>643</v>
      </c>
      <c r="E221" s="16">
        <v>220</v>
      </c>
    </row>
    <row r="222" spans="1:5" ht="30" customHeight="1">
      <c r="A222" s="30" t="s">
        <v>668</v>
      </c>
      <c r="B222" s="31" t="s">
        <v>669</v>
      </c>
      <c r="C222" s="14" t="s">
        <v>670</v>
      </c>
      <c r="D222" s="15" t="s">
        <v>643</v>
      </c>
      <c r="E222" s="16">
        <v>221</v>
      </c>
    </row>
    <row r="223" spans="1:5" ht="30" customHeight="1">
      <c r="A223" s="32" t="s">
        <v>671</v>
      </c>
      <c r="B223" s="31" t="s">
        <v>672</v>
      </c>
      <c r="C223" s="14" t="s">
        <v>673</v>
      </c>
      <c r="D223" s="15" t="s">
        <v>643</v>
      </c>
      <c r="E223" s="16">
        <v>222</v>
      </c>
    </row>
    <row r="224" spans="1:5" ht="30" customHeight="1">
      <c r="A224" s="19" t="s">
        <v>674</v>
      </c>
      <c r="B224" s="33" t="s">
        <v>675</v>
      </c>
      <c r="C224" s="34" t="s">
        <v>676</v>
      </c>
      <c r="D224" s="35" t="s">
        <v>677</v>
      </c>
      <c r="E224" s="16">
        <v>223</v>
      </c>
    </row>
    <row r="225" spans="1:5" ht="30" customHeight="1">
      <c r="A225" s="19" t="s">
        <v>678</v>
      </c>
      <c r="B225" s="33" t="s">
        <v>679</v>
      </c>
      <c r="C225" s="34" t="s">
        <v>680</v>
      </c>
      <c r="D225" s="35" t="s">
        <v>677</v>
      </c>
      <c r="E225" s="16">
        <v>224</v>
      </c>
    </row>
    <row r="226" spans="1:5" ht="30" customHeight="1">
      <c r="A226" s="19" t="s">
        <v>681</v>
      </c>
      <c r="B226" s="33" t="s">
        <v>682</v>
      </c>
      <c r="C226" s="34" t="s">
        <v>683</v>
      </c>
      <c r="D226" s="35" t="s">
        <v>677</v>
      </c>
      <c r="E226" s="16">
        <v>225</v>
      </c>
    </row>
    <row r="227" spans="1:5" ht="30" customHeight="1">
      <c r="A227" s="19" t="s">
        <v>684</v>
      </c>
      <c r="B227" s="33" t="s">
        <v>685</v>
      </c>
      <c r="C227" s="34" t="s">
        <v>686</v>
      </c>
      <c r="D227" s="35" t="s">
        <v>677</v>
      </c>
      <c r="E227" s="16">
        <v>226</v>
      </c>
    </row>
    <row r="228" spans="1:5" ht="30" customHeight="1">
      <c r="A228" s="19" t="s">
        <v>687</v>
      </c>
      <c r="B228" s="33" t="s">
        <v>688</v>
      </c>
      <c r="C228" s="34" t="s">
        <v>689</v>
      </c>
      <c r="D228" s="35" t="s">
        <v>677</v>
      </c>
      <c r="E228" s="16">
        <v>227</v>
      </c>
    </row>
    <row r="229" spans="1:5" ht="30" customHeight="1">
      <c r="A229" s="19" t="s">
        <v>690</v>
      </c>
      <c r="B229" s="33" t="s">
        <v>691</v>
      </c>
      <c r="C229" s="34" t="s">
        <v>692</v>
      </c>
      <c r="D229" s="35" t="s">
        <v>677</v>
      </c>
      <c r="E229" s="16">
        <v>228</v>
      </c>
    </row>
    <row r="230" spans="1:5" ht="30" customHeight="1">
      <c r="A230" s="19" t="s">
        <v>693</v>
      </c>
      <c r="B230" s="33" t="s">
        <v>694</v>
      </c>
      <c r="C230" s="34" t="s">
        <v>695</v>
      </c>
      <c r="D230" s="35" t="s">
        <v>677</v>
      </c>
      <c r="E230" s="16">
        <v>229</v>
      </c>
    </row>
    <row r="231" spans="1:5" ht="30" customHeight="1">
      <c r="A231" s="19" t="s">
        <v>696</v>
      </c>
      <c r="B231" s="33" t="s">
        <v>697</v>
      </c>
      <c r="C231" s="34" t="s">
        <v>698</v>
      </c>
      <c r="D231" s="35" t="s">
        <v>677</v>
      </c>
      <c r="E231" s="16">
        <v>230</v>
      </c>
    </row>
    <row r="232" spans="1:5" ht="30" customHeight="1">
      <c r="A232" s="36" t="s">
        <v>699</v>
      </c>
      <c r="B232" s="37" t="s">
        <v>700</v>
      </c>
      <c r="C232" s="38" t="s">
        <v>701</v>
      </c>
      <c r="D232" s="39" t="s">
        <v>702</v>
      </c>
      <c r="E232" s="16">
        <v>231</v>
      </c>
    </row>
    <row r="233" spans="1:5" ht="30" customHeight="1">
      <c r="A233" s="36" t="s">
        <v>703</v>
      </c>
      <c r="B233" s="37" t="s">
        <v>704</v>
      </c>
      <c r="C233" s="38" t="s">
        <v>705</v>
      </c>
      <c r="D233" s="39" t="s">
        <v>702</v>
      </c>
      <c r="E233" s="16">
        <v>232</v>
      </c>
    </row>
    <row r="234" spans="1:5" ht="30" customHeight="1">
      <c r="A234" s="36" t="s">
        <v>706</v>
      </c>
      <c r="B234" s="37" t="s">
        <v>707</v>
      </c>
      <c r="C234" s="38" t="s">
        <v>708</v>
      </c>
      <c r="D234" s="39" t="s">
        <v>702</v>
      </c>
      <c r="E234" s="16">
        <v>233</v>
      </c>
    </row>
    <row r="235" spans="1:5" ht="30" customHeight="1">
      <c r="A235" s="36" t="s">
        <v>709</v>
      </c>
      <c r="B235" s="37" t="s">
        <v>710</v>
      </c>
      <c r="C235" s="38" t="s">
        <v>711</v>
      </c>
      <c r="D235" s="39" t="s">
        <v>702</v>
      </c>
      <c r="E235" s="16">
        <v>234</v>
      </c>
    </row>
    <row r="236" spans="1:5" ht="30" customHeight="1">
      <c r="A236" s="36" t="s">
        <v>712</v>
      </c>
      <c r="B236" s="37" t="s">
        <v>713</v>
      </c>
      <c r="C236" s="38" t="s">
        <v>714</v>
      </c>
      <c r="D236" s="39" t="s">
        <v>702</v>
      </c>
      <c r="E236" s="16">
        <v>235</v>
      </c>
    </row>
    <row r="237" spans="1:5" ht="30" customHeight="1">
      <c r="A237" s="36" t="s">
        <v>715</v>
      </c>
      <c r="B237" s="37" t="s">
        <v>716</v>
      </c>
      <c r="C237" s="38" t="s">
        <v>717</v>
      </c>
      <c r="D237" s="39" t="s">
        <v>702</v>
      </c>
      <c r="E237" s="16">
        <v>236</v>
      </c>
    </row>
    <row r="238" spans="1:5" ht="30" customHeight="1">
      <c r="A238" s="36" t="s">
        <v>718</v>
      </c>
      <c r="B238" s="37" t="s">
        <v>719</v>
      </c>
      <c r="C238" s="38" t="s">
        <v>720</v>
      </c>
      <c r="D238" s="39" t="s">
        <v>702</v>
      </c>
      <c r="E238" s="16">
        <v>237</v>
      </c>
    </row>
    <row r="239" spans="1:5" ht="30" customHeight="1">
      <c r="A239" s="36" t="s">
        <v>721</v>
      </c>
      <c r="B239" s="37" t="s">
        <v>722</v>
      </c>
      <c r="C239" s="38" t="s">
        <v>723</v>
      </c>
      <c r="D239" s="39" t="s">
        <v>702</v>
      </c>
      <c r="E239" s="16">
        <v>238</v>
      </c>
    </row>
    <row r="240" spans="1:5" ht="30" customHeight="1">
      <c r="A240" s="36" t="s">
        <v>724</v>
      </c>
      <c r="B240" s="37" t="s">
        <v>725</v>
      </c>
      <c r="C240" s="38" t="s">
        <v>726</v>
      </c>
      <c r="D240" s="39" t="s">
        <v>702</v>
      </c>
      <c r="E240" s="16">
        <v>239</v>
      </c>
    </row>
    <row r="241" spans="1:5" ht="30" customHeight="1">
      <c r="A241" s="36" t="s">
        <v>727</v>
      </c>
      <c r="B241" s="37" t="s">
        <v>728</v>
      </c>
      <c r="C241" s="38" t="s">
        <v>729</v>
      </c>
      <c r="D241" s="39" t="s">
        <v>702</v>
      </c>
      <c r="E241" s="16">
        <v>240</v>
      </c>
    </row>
  </sheetData>
  <pageMargins left="0.7" right="0.7" top="1.1436999999999999" bottom="1.1436999999999999" header="0.75" footer="0.75"/>
  <pageSetup fitToWidth="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G69"/>
  <sheetViews>
    <sheetView workbookViewId="0">
      <selection activeCell="I13" sqref="I13"/>
    </sheetView>
  </sheetViews>
  <sheetFormatPr defaultColWidth="9" defaultRowHeight="15"/>
  <cols>
    <col min="1" max="1" width="23.25" style="1" customWidth="1"/>
    <col min="2" max="2" width="25.875" style="7" customWidth="1"/>
    <col min="3" max="1021" width="8.125" style="1" customWidth="1"/>
  </cols>
  <sheetData>
    <row r="1" spans="1:1">
      <c r="A1" s="41" t="s">
        <v>780</v>
      </c>
    </row>
    <row r="2" spans="1:1" ht="21" customHeight="1">
      <c r="A2" s="42" t="s">
        <v>730</v>
      </c>
    </row>
    <row r="3" spans="1:1" ht="21" customHeight="1">
      <c r="A3" s="42" t="s">
        <v>731</v>
      </c>
    </row>
    <row r="4" spans="1:1" ht="21" customHeight="1">
      <c r="A4" s="42" t="s">
        <v>732</v>
      </c>
    </row>
    <row r="5" spans="1:1" ht="21" customHeight="1">
      <c r="A5" s="42" t="s">
        <v>733</v>
      </c>
    </row>
    <row r="6" spans="1:1" ht="21" customHeight="1">
      <c r="A6" s="42" t="s">
        <v>734</v>
      </c>
    </row>
    <row r="7" spans="1:1" ht="21" customHeight="1">
      <c r="A7" s="42" t="s">
        <v>735</v>
      </c>
    </row>
    <row r="8" spans="1:1" ht="21" customHeight="1">
      <c r="A8" s="42" t="s">
        <v>736</v>
      </c>
    </row>
    <row r="9" spans="1:1" ht="21" customHeight="1">
      <c r="A9" s="42" t="s">
        <v>737</v>
      </c>
    </row>
    <row r="10" spans="1:1" ht="21" customHeight="1">
      <c r="A10" s="42" t="s">
        <v>738</v>
      </c>
    </row>
    <row r="11" spans="1:1" ht="21" customHeight="1">
      <c r="A11" s="42" t="s">
        <v>739</v>
      </c>
    </row>
    <row r="12" spans="1:1" ht="21" customHeight="1">
      <c r="A12" s="42" t="s">
        <v>740</v>
      </c>
    </row>
    <row r="13" spans="1:1" ht="21" customHeight="1">
      <c r="A13" s="42" t="s">
        <v>741</v>
      </c>
    </row>
    <row r="14" spans="1:1" ht="21" customHeight="1">
      <c r="A14" s="42" t="s">
        <v>742</v>
      </c>
    </row>
    <row r="15" spans="1:1" ht="21" customHeight="1">
      <c r="A15" s="42" t="s">
        <v>743</v>
      </c>
    </row>
    <row r="16" spans="1:1" ht="21" customHeight="1">
      <c r="A16" s="42" t="s">
        <v>744</v>
      </c>
    </row>
    <row r="17" spans="1:1" ht="21" customHeight="1">
      <c r="A17" s="42" t="s">
        <v>745</v>
      </c>
    </row>
    <row r="18" spans="1:1" ht="21" customHeight="1">
      <c r="A18" s="42" t="s">
        <v>746</v>
      </c>
    </row>
    <row r="19" spans="1:1" ht="21" customHeight="1">
      <c r="A19" s="42" t="s">
        <v>747</v>
      </c>
    </row>
    <row r="20" spans="1:1" ht="21" customHeight="1">
      <c r="A20" s="42" t="s">
        <v>748</v>
      </c>
    </row>
    <row r="21" spans="1:1" ht="21" customHeight="1">
      <c r="A21" s="42" t="s">
        <v>749</v>
      </c>
    </row>
    <row r="22" spans="1:1" ht="21" customHeight="1">
      <c r="A22" s="42" t="s">
        <v>750</v>
      </c>
    </row>
    <row r="23" spans="1:1" ht="21" customHeight="1">
      <c r="A23" s="42" t="s">
        <v>751</v>
      </c>
    </row>
    <row r="24" spans="1:1" ht="21" customHeight="1">
      <c r="A24" s="42" t="s">
        <v>752</v>
      </c>
    </row>
    <row r="25" spans="1:1" ht="21" customHeight="1">
      <c r="A25" s="42" t="s">
        <v>753</v>
      </c>
    </row>
    <row r="26" spans="1:1" ht="21" customHeight="1">
      <c r="A26" s="42" t="s">
        <v>754</v>
      </c>
    </row>
    <row r="27" spans="1:1" ht="21" customHeight="1">
      <c r="A27" s="43" t="s">
        <v>755</v>
      </c>
    </row>
    <row r="28" spans="1:1" ht="21" customHeight="1">
      <c r="A28" s="43" t="s">
        <v>756</v>
      </c>
    </row>
    <row r="29" spans="1:1" ht="21" customHeight="1">
      <c r="A29" s="42" t="s">
        <v>757</v>
      </c>
    </row>
    <row r="30" spans="1:1" ht="21" customHeight="1">
      <c r="A30" s="42" t="s">
        <v>758</v>
      </c>
    </row>
    <row r="31" spans="1:1" ht="21" customHeight="1">
      <c r="A31" s="42" t="s">
        <v>759</v>
      </c>
    </row>
    <row r="32" spans="1:1" ht="21" customHeight="1">
      <c r="A32" s="42" t="s">
        <v>760</v>
      </c>
    </row>
    <row r="33" spans="1:1" ht="21" customHeight="1">
      <c r="A33" s="42" t="s">
        <v>761</v>
      </c>
    </row>
    <row r="34" spans="1:1" ht="21" customHeight="1">
      <c r="A34" s="42" t="s">
        <v>762</v>
      </c>
    </row>
    <row r="35" spans="1:1" ht="21" customHeight="1">
      <c r="A35" s="42" t="s">
        <v>763</v>
      </c>
    </row>
    <row r="36" spans="1:1" ht="21" customHeight="1">
      <c r="A36" s="42" t="s">
        <v>764</v>
      </c>
    </row>
    <row r="37" spans="1:1" ht="21" customHeight="1">
      <c r="A37" s="42" t="s">
        <v>765</v>
      </c>
    </row>
    <row r="38" spans="1:1" ht="21" customHeight="1">
      <c r="A38" s="42" t="s">
        <v>766</v>
      </c>
    </row>
    <row r="39" spans="1:1" ht="21" customHeight="1">
      <c r="A39" s="42" t="s">
        <v>767</v>
      </c>
    </row>
    <row r="40" spans="1:1" ht="21" customHeight="1">
      <c r="A40" s="42" t="s">
        <v>768</v>
      </c>
    </row>
    <row r="41" spans="1:1" ht="21" customHeight="1">
      <c r="A41" s="42" t="s">
        <v>769</v>
      </c>
    </row>
    <row r="42" spans="1:1" ht="21" customHeight="1">
      <c r="A42" s="42" t="s">
        <v>770</v>
      </c>
    </row>
    <row r="43" spans="1:1" ht="21" customHeight="1">
      <c r="A43" s="42" t="s">
        <v>771</v>
      </c>
    </row>
    <row r="44" spans="1:1" ht="21" customHeight="1">
      <c r="A44" s="42" t="s">
        <v>772</v>
      </c>
    </row>
    <row r="45" spans="1:1" ht="21" customHeight="1">
      <c r="A45" s="42" t="s">
        <v>773</v>
      </c>
    </row>
    <row r="46" spans="1:1" ht="21" customHeight="1">
      <c r="A46" s="42" t="s">
        <v>774</v>
      </c>
    </row>
    <row r="47" spans="1:1" ht="21" customHeight="1">
      <c r="A47" s="42" t="s">
        <v>775</v>
      </c>
    </row>
    <row r="48" spans="1:1" ht="21" customHeight="1">
      <c r="A48" s="42" t="s">
        <v>776</v>
      </c>
    </row>
    <row r="49" spans="1:1" ht="21" customHeight="1">
      <c r="A49" s="42" t="s">
        <v>777</v>
      </c>
    </row>
    <row r="50" spans="1:1" ht="21" customHeight="1">
      <c r="A50" s="42" t="s">
        <v>778</v>
      </c>
    </row>
    <row r="51" spans="1:1" ht="21" customHeight="1">
      <c r="A51" s="42" t="s">
        <v>779</v>
      </c>
    </row>
    <row r="52" spans="1:1" ht="21" customHeight="1"/>
    <row r="53" spans="1:1" ht="21" customHeight="1"/>
    <row r="54" spans="1:1" ht="21" customHeight="1"/>
    <row r="56" spans="1:1" ht="21" customHeight="1"/>
    <row r="57" spans="1:1" ht="21" customHeight="1"/>
    <row r="58" spans="1:1" ht="21" customHeight="1"/>
    <row r="59" spans="1:1" ht="21" customHeight="1"/>
    <row r="60" spans="1:1" ht="21" customHeight="1"/>
    <row r="61" spans="1:1" ht="21" customHeight="1"/>
    <row r="62" spans="1:1" ht="21" customHeight="1"/>
    <row r="63" spans="1:1" ht="21" customHeight="1"/>
    <row r="64" spans="1:1" ht="21" customHeight="1"/>
    <row r="65" ht="21" customHeight="1"/>
    <row r="66" ht="21" customHeight="1"/>
    <row r="67" ht="21" customHeight="1"/>
    <row r="68" ht="21" customHeight="1"/>
    <row r="69" ht="21" customHeight="1"/>
  </sheetData>
  <pageMargins left="0.7" right="0.7" top="1.1436999999999999" bottom="1.1436999999999999" header="0.75" footer="0.75"/>
  <pageSetup paperSize="9" fitToWidth="0" fitToHeight="0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672F-DA75-4407-97C4-9435E6D815B0}">
  <dimension ref="A1:ALT243"/>
  <sheetViews>
    <sheetView tabSelected="1" zoomScaleNormal="100" workbookViewId="0">
      <pane ySplit="1" topLeftCell="A251" activePane="bottomLeft" state="frozen"/>
      <selection pane="bottomLeft" activeCell="O31" sqref="O31"/>
    </sheetView>
  </sheetViews>
  <sheetFormatPr defaultColWidth="9" defaultRowHeight="30" customHeight="1"/>
  <cols>
    <col min="1" max="1" width="8.75" style="1" customWidth="1"/>
    <col min="2" max="2" width="13.5" style="4" customWidth="1"/>
    <col min="3" max="3" width="13.125" style="5" customWidth="1"/>
    <col min="4" max="4" width="9.375" style="1" customWidth="1"/>
    <col min="5" max="5" width="11.25" style="1" customWidth="1"/>
    <col min="6" max="7" width="9.625" style="1" hidden="1" customWidth="1"/>
    <col min="8" max="9" width="9.625" style="53" hidden="1" customWidth="1"/>
    <col min="10" max="11" width="9.625" style="53" customWidth="1"/>
    <col min="12" max="14" width="9.625" style="1" customWidth="1"/>
    <col min="15" max="15" width="9.75" style="1" customWidth="1"/>
    <col min="16" max="16" width="11.875" style="1" customWidth="1"/>
    <col min="17" max="17" width="10.25" style="1" customWidth="1"/>
    <col min="18" max="1008" width="8.125" style="1" customWidth="1"/>
  </cols>
  <sheetData>
    <row r="1" spans="1:17" s="1" customFormat="1" ht="30" customHeight="1">
      <c r="A1" s="8" t="s">
        <v>0</v>
      </c>
      <c r="B1" s="9" t="s">
        <v>1</v>
      </c>
      <c r="C1" s="10" t="s">
        <v>2</v>
      </c>
      <c r="D1" s="11" t="s">
        <v>3</v>
      </c>
      <c r="E1" s="6" t="s">
        <v>4</v>
      </c>
      <c r="F1" s="60" t="s">
        <v>781</v>
      </c>
      <c r="G1" s="61"/>
      <c r="H1" s="58" t="s">
        <v>782</v>
      </c>
      <c r="I1" s="59"/>
      <c r="J1" s="58" t="s">
        <v>782</v>
      </c>
      <c r="K1" s="59"/>
      <c r="L1" s="60" t="s">
        <v>783</v>
      </c>
      <c r="M1" s="61"/>
      <c r="N1" s="60" t="s">
        <v>785</v>
      </c>
      <c r="O1" s="61"/>
      <c r="P1" s="60" t="s">
        <v>786</v>
      </c>
      <c r="Q1" s="61"/>
    </row>
    <row r="2" spans="1:17" s="1" customFormat="1" ht="30" customHeight="1">
      <c r="A2" s="8"/>
      <c r="B2" s="9"/>
      <c r="C2" s="10"/>
      <c r="D2" s="11"/>
      <c r="E2" s="57" t="s">
        <v>784</v>
      </c>
      <c r="F2" s="60">
        <v>300</v>
      </c>
      <c r="G2" s="61"/>
      <c r="H2" s="58">
        <v>1500</v>
      </c>
      <c r="I2" s="59"/>
      <c r="J2" s="58" t="s">
        <v>788</v>
      </c>
      <c r="K2" s="59"/>
      <c r="L2" s="60">
        <f>360000*4/240</f>
        <v>6000</v>
      </c>
      <c r="M2" s="61"/>
      <c r="N2" s="60">
        <f>780000/40</f>
        <v>19500</v>
      </c>
      <c r="O2" s="61"/>
      <c r="P2" s="60">
        <v>55500</v>
      </c>
      <c r="Q2" s="61"/>
    </row>
    <row r="3" spans="1:17" s="1" customFormat="1" ht="30" customHeight="1">
      <c r="A3" s="8"/>
      <c r="B3" s="9"/>
      <c r="C3" s="10"/>
      <c r="D3" s="11"/>
      <c r="E3" s="48" t="s">
        <v>787</v>
      </c>
      <c r="F3" s="45"/>
      <c r="G3" s="46"/>
      <c r="H3" s="54"/>
      <c r="I3" s="55"/>
      <c r="J3" s="58" t="s">
        <v>789</v>
      </c>
      <c r="K3" s="59"/>
      <c r="L3" s="45"/>
      <c r="M3" s="46"/>
      <c r="N3" s="45"/>
      <c r="O3" s="46"/>
      <c r="P3" s="45"/>
      <c r="Q3" s="46"/>
    </row>
    <row r="4" spans="1:17" s="1" customFormat="1" ht="30" customHeight="1">
      <c r="A4" s="12" t="s">
        <v>5</v>
      </c>
      <c r="B4" s="13" t="s">
        <v>6</v>
      </c>
      <c r="C4" s="14" t="s">
        <v>7</v>
      </c>
      <c r="D4" s="15" t="s">
        <v>8</v>
      </c>
      <c r="E4" s="16">
        <v>1</v>
      </c>
      <c r="F4" s="47">
        <v>1</v>
      </c>
      <c r="G4" s="47">
        <f>F4+300-1</f>
        <v>300</v>
      </c>
      <c r="H4" s="50">
        <f>G243+1</f>
        <v>72001</v>
      </c>
      <c r="I4" s="50">
        <f>H4+1500-1</f>
        <v>73500</v>
      </c>
      <c r="J4" s="62">
        <v>1</v>
      </c>
      <c r="K4" s="50">
        <f>J4+1500-1</f>
        <v>1500</v>
      </c>
      <c r="L4" s="49">
        <f>I243+1</f>
        <v>432001</v>
      </c>
      <c r="M4" s="49">
        <f>L4+6000-1</f>
        <v>438000</v>
      </c>
      <c r="N4" s="51">
        <f>M243+1</f>
        <v>1872001</v>
      </c>
      <c r="O4" s="51">
        <f>N4+19500-1</f>
        <v>1891500</v>
      </c>
      <c r="P4" s="52">
        <f>O243+1</f>
        <v>6552001</v>
      </c>
      <c r="Q4" s="52">
        <f>P4+55500-1</f>
        <v>6607500</v>
      </c>
    </row>
    <row r="5" spans="1:17" s="1" customFormat="1" ht="30" customHeight="1">
      <c r="A5" s="12" t="s">
        <v>9</v>
      </c>
      <c r="B5" s="13" t="s">
        <v>10</v>
      </c>
      <c r="C5" s="14" t="s">
        <v>11</v>
      </c>
      <c r="D5" s="15" t="s">
        <v>8</v>
      </c>
      <c r="E5" s="16">
        <v>2</v>
      </c>
      <c r="F5" s="47">
        <f>G4+1</f>
        <v>301</v>
      </c>
      <c r="G5" s="47">
        <f>F5+300-1</f>
        <v>600</v>
      </c>
      <c r="H5" s="50">
        <f>I4+1</f>
        <v>73501</v>
      </c>
      <c r="I5" s="50">
        <f t="shared" ref="I5:K68" si="0">H5+1500-1</f>
        <v>75000</v>
      </c>
      <c r="J5" s="50">
        <f>K4+1</f>
        <v>1501</v>
      </c>
      <c r="K5" s="50">
        <f t="shared" si="0"/>
        <v>3000</v>
      </c>
      <c r="L5" s="49">
        <f>M4+1</f>
        <v>438001</v>
      </c>
      <c r="M5" s="49">
        <f t="shared" ref="M5:M68" si="1">L5+6000-1</f>
        <v>444000</v>
      </c>
      <c r="N5" s="51">
        <f>O4+1</f>
        <v>1891501</v>
      </c>
      <c r="O5" s="51">
        <f t="shared" ref="O5:O68" si="2">N5+19500-1</f>
        <v>1911000</v>
      </c>
      <c r="P5" s="52">
        <f>Q4+1</f>
        <v>6607501</v>
      </c>
      <c r="Q5" s="52">
        <f t="shared" ref="Q5:Q68" si="3">P5+55500-1</f>
        <v>6663000</v>
      </c>
    </row>
    <row r="6" spans="1:17" s="1" customFormat="1" ht="30" customHeight="1">
      <c r="A6" s="12" t="s">
        <v>12</v>
      </c>
      <c r="B6" s="13" t="s">
        <v>13</v>
      </c>
      <c r="C6" s="14" t="s">
        <v>14</v>
      </c>
      <c r="D6" s="15" t="s">
        <v>8</v>
      </c>
      <c r="E6" s="16">
        <v>3</v>
      </c>
      <c r="F6" s="47">
        <f t="shared" ref="F6:F69" si="4">G5+1</f>
        <v>601</v>
      </c>
      <c r="G6" s="47">
        <f t="shared" ref="G6:G69" si="5">F6+300-1</f>
        <v>900</v>
      </c>
      <c r="H6" s="50">
        <f t="shared" ref="H6:H69" si="6">I5+1</f>
        <v>75001</v>
      </c>
      <c r="I6" s="50">
        <f t="shared" si="0"/>
        <v>76500</v>
      </c>
      <c r="J6" s="50">
        <f t="shared" ref="J6:J69" si="7">K5+1</f>
        <v>3001</v>
      </c>
      <c r="K6" s="50">
        <f t="shared" ref="K6" si="8">J6+1500-1</f>
        <v>4500</v>
      </c>
      <c r="L6" s="49">
        <f t="shared" ref="L6:L69" si="9">M5+1</f>
        <v>444001</v>
      </c>
      <c r="M6" s="49">
        <f t="shared" si="1"/>
        <v>450000</v>
      </c>
      <c r="N6" s="51">
        <f t="shared" ref="N6:N69" si="10">O5+1</f>
        <v>1911001</v>
      </c>
      <c r="O6" s="51">
        <f t="shared" si="2"/>
        <v>1930500</v>
      </c>
      <c r="P6" s="52">
        <f t="shared" ref="P6:P69" si="11">Q5+1</f>
        <v>6663001</v>
      </c>
      <c r="Q6" s="52">
        <f t="shared" si="3"/>
        <v>6718500</v>
      </c>
    </row>
    <row r="7" spans="1:17" s="1" customFormat="1" ht="30" customHeight="1">
      <c r="A7" s="12" t="s">
        <v>15</v>
      </c>
      <c r="B7" s="13" t="s">
        <v>16</v>
      </c>
      <c r="C7" s="14" t="s">
        <v>17</v>
      </c>
      <c r="D7" s="15" t="s">
        <v>8</v>
      </c>
      <c r="E7" s="16">
        <v>4</v>
      </c>
      <c r="F7" s="47">
        <f t="shared" si="4"/>
        <v>901</v>
      </c>
      <c r="G7" s="47">
        <f t="shared" si="5"/>
        <v>1200</v>
      </c>
      <c r="H7" s="50">
        <f t="shared" si="6"/>
        <v>76501</v>
      </c>
      <c r="I7" s="50">
        <f t="shared" si="0"/>
        <v>78000</v>
      </c>
      <c r="J7" s="50">
        <f t="shared" si="7"/>
        <v>4501</v>
      </c>
      <c r="K7" s="50">
        <f t="shared" ref="K7" si="12">J7+1500-1</f>
        <v>6000</v>
      </c>
      <c r="L7" s="49">
        <f t="shared" si="9"/>
        <v>450001</v>
      </c>
      <c r="M7" s="49">
        <f t="shared" si="1"/>
        <v>456000</v>
      </c>
      <c r="N7" s="51">
        <f t="shared" si="10"/>
        <v>1930501</v>
      </c>
      <c r="O7" s="51">
        <f t="shared" si="2"/>
        <v>1950000</v>
      </c>
      <c r="P7" s="52">
        <f t="shared" si="11"/>
        <v>6718501</v>
      </c>
      <c r="Q7" s="52">
        <f t="shared" si="3"/>
        <v>6774000</v>
      </c>
    </row>
    <row r="8" spans="1:17" s="2" customFormat="1" ht="30" customHeight="1">
      <c r="A8" s="17" t="s">
        <v>18</v>
      </c>
      <c r="B8" s="18" t="s">
        <v>19</v>
      </c>
      <c r="C8" s="14" t="s">
        <v>20</v>
      </c>
      <c r="D8" s="15" t="s">
        <v>8</v>
      </c>
      <c r="E8" s="16">
        <v>5</v>
      </c>
      <c r="F8" s="47">
        <f t="shared" si="4"/>
        <v>1201</v>
      </c>
      <c r="G8" s="47">
        <f t="shared" si="5"/>
        <v>1500</v>
      </c>
      <c r="H8" s="50">
        <f t="shared" si="6"/>
        <v>78001</v>
      </c>
      <c r="I8" s="50">
        <f t="shared" si="0"/>
        <v>79500</v>
      </c>
      <c r="J8" s="50">
        <f t="shared" si="7"/>
        <v>6001</v>
      </c>
      <c r="K8" s="50">
        <f t="shared" ref="K8" si="13">J8+1500-1</f>
        <v>7500</v>
      </c>
      <c r="L8" s="49">
        <f t="shared" si="9"/>
        <v>456001</v>
      </c>
      <c r="M8" s="49">
        <f t="shared" si="1"/>
        <v>462000</v>
      </c>
      <c r="N8" s="51">
        <f t="shared" si="10"/>
        <v>1950001</v>
      </c>
      <c r="O8" s="51">
        <f t="shared" si="2"/>
        <v>1969500</v>
      </c>
      <c r="P8" s="52">
        <f t="shared" si="11"/>
        <v>6774001</v>
      </c>
      <c r="Q8" s="52">
        <f t="shared" si="3"/>
        <v>6829500</v>
      </c>
    </row>
    <row r="9" spans="1:17" s="2" customFormat="1" ht="30" customHeight="1">
      <c r="A9" s="17" t="s">
        <v>21</v>
      </c>
      <c r="B9" s="18" t="s">
        <v>22</v>
      </c>
      <c r="C9" s="14" t="s">
        <v>23</v>
      </c>
      <c r="D9" s="15" t="s">
        <v>8</v>
      </c>
      <c r="E9" s="16">
        <v>6</v>
      </c>
      <c r="F9" s="47">
        <f t="shared" si="4"/>
        <v>1501</v>
      </c>
      <c r="G9" s="47">
        <f t="shared" si="5"/>
        <v>1800</v>
      </c>
      <c r="H9" s="50">
        <f t="shared" si="6"/>
        <v>79501</v>
      </c>
      <c r="I9" s="50">
        <f t="shared" si="0"/>
        <v>81000</v>
      </c>
      <c r="J9" s="50">
        <f t="shared" si="7"/>
        <v>7501</v>
      </c>
      <c r="K9" s="50">
        <f t="shared" ref="K9" si="14">J9+1500-1</f>
        <v>9000</v>
      </c>
      <c r="L9" s="49">
        <f t="shared" si="9"/>
        <v>462001</v>
      </c>
      <c r="M9" s="49">
        <f t="shared" si="1"/>
        <v>468000</v>
      </c>
      <c r="N9" s="51">
        <f t="shared" si="10"/>
        <v>1969501</v>
      </c>
      <c r="O9" s="51">
        <f t="shared" si="2"/>
        <v>1989000</v>
      </c>
      <c r="P9" s="52">
        <f t="shared" si="11"/>
        <v>6829501</v>
      </c>
      <c r="Q9" s="52">
        <f t="shared" si="3"/>
        <v>6885000</v>
      </c>
    </row>
    <row r="10" spans="1:17" s="2" customFormat="1" ht="30" customHeight="1">
      <c r="A10" s="17" t="s">
        <v>24</v>
      </c>
      <c r="B10" s="18" t="s">
        <v>25</v>
      </c>
      <c r="C10" s="14" t="s">
        <v>26</v>
      </c>
      <c r="D10" s="15" t="s">
        <v>8</v>
      </c>
      <c r="E10" s="16">
        <v>7</v>
      </c>
      <c r="F10" s="47">
        <f t="shared" si="4"/>
        <v>1801</v>
      </c>
      <c r="G10" s="47">
        <f t="shared" si="5"/>
        <v>2100</v>
      </c>
      <c r="H10" s="50">
        <f t="shared" si="6"/>
        <v>81001</v>
      </c>
      <c r="I10" s="50">
        <f t="shared" si="0"/>
        <v>82500</v>
      </c>
      <c r="J10" s="50">
        <f t="shared" si="7"/>
        <v>9001</v>
      </c>
      <c r="K10" s="50">
        <f t="shared" ref="K10" si="15">J10+1500-1</f>
        <v>10500</v>
      </c>
      <c r="L10" s="49">
        <f t="shared" si="9"/>
        <v>468001</v>
      </c>
      <c r="M10" s="49">
        <f t="shared" si="1"/>
        <v>474000</v>
      </c>
      <c r="N10" s="51">
        <f t="shared" si="10"/>
        <v>1989001</v>
      </c>
      <c r="O10" s="51">
        <f t="shared" si="2"/>
        <v>2008500</v>
      </c>
      <c r="P10" s="52">
        <f t="shared" si="11"/>
        <v>6885001</v>
      </c>
      <c r="Q10" s="52">
        <f t="shared" si="3"/>
        <v>6940500</v>
      </c>
    </row>
    <row r="11" spans="1:17" s="2" customFormat="1" ht="30" customHeight="1">
      <c r="A11" s="17" t="s">
        <v>27</v>
      </c>
      <c r="B11" s="18" t="s">
        <v>28</v>
      </c>
      <c r="C11" s="14" t="s">
        <v>29</v>
      </c>
      <c r="D11" s="15" t="s">
        <v>8</v>
      </c>
      <c r="E11" s="16">
        <v>8</v>
      </c>
      <c r="F11" s="47">
        <f t="shared" si="4"/>
        <v>2101</v>
      </c>
      <c r="G11" s="47">
        <f t="shared" si="5"/>
        <v>2400</v>
      </c>
      <c r="H11" s="50">
        <f t="shared" si="6"/>
        <v>82501</v>
      </c>
      <c r="I11" s="50">
        <f t="shared" si="0"/>
        <v>84000</v>
      </c>
      <c r="J11" s="50">
        <f t="shared" si="7"/>
        <v>10501</v>
      </c>
      <c r="K11" s="62">
        <f t="shared" ref="K11" si="16">J11+1500-1</f>
        <v>12000</v>
      </c>
      <c r="L11" s="49">
        <f t="shared" si="9"/>
        <v>474001</v>
      </c>
      <c r="M11" s="49">
        <f t="shared" si="1"/>
        <v>480000</v>
      </c>
      <c r="N11" s="51">
        <f t="shared" si="10"/>
        <v>2008501</v>
      </c>
      <c r="O11" s="51">
        <f t="shared" si="2"/>
        <v>2028000</v>
      </c>
      <c r="P11" s="52">
        <f t="shared" si="11"/>
        <v>6940501</v>
      </c>
      <c r="Q11" s="52">
        <f t="shared" si="3"/>
        <v>6996000</v>
      </c>
    </row>
    <row r="12" spans="1:17" s="2" customFormat="1" ht="30" customHeight="1">
      <c r="A12" s="12" t="s">
        <v>30</v>
      </c>
      <c r="B12" s="18" t="s">
        <v>31</v>
      </c>
      <c r="C12" s="14" t="s">
        <v>32</v>
      </c>
      <c r="D12" s="15" t="s">
        <v>8</v>
      </c>
      <c r="E12" s="16">
        <v>9</v>
      </c>
      <c r="F12" s="47">
        <f t="shared" si="4"/>
        <v>2401</v>
      </c>
      <c r="G12" s="47">
        <f t="shared" si="5"/>
        <v>2700</v>
      </c>
      <c r="H12" s="50">
        <f t="shared" si="6"/>
        <v>84001</v>
      </c>
      <c r="I12" s="50">
        <f t="shared" si="0"/>
        <v>85500</v>
      </c>
      <c r="J12" s="62">
        <f t="shared" si="7"/>
        <v>12001</v>
      </c>
      <c r="K12" s="50">
        <f t="shared" ref="K12" si="17">J12+1500-1</f>
        <v>13500</v>
      </c>
      <c r="L12" s="49">
        <f t="shared" si="9"/>
        <v>480001</v>
      </c>
      <c r="M12" s="49">
        <f t="shared" si="1"/>
        <v>486000</v>
      </c>
      <c r="N12" s="51">
        <f t="shared" si="10"/>
        <v>2028001</v>
      </c>
      <c r="O12" s="51">
        <f t="shared" si="2"/>
        <v>2047500</v>
      </c>
      <c r="P12" s="44">
        <f t="shared" si="11"/>
        <v>6996001</v>
      </c>
      <c r="Q12" s="44">
        <f t="shared" si="3"/>
        <v>7051500</v>
      </c>
    </row>
    <row r="13" spans="1:17" s="2" customFormat="1" ht="30" customHeight="1">
      <c r="A13" s="12" t="s">
        <v>33</v>
      </c>
      <c r="B13" s="18" t="s">
        <v>34</v>
      </c>
      <c r="C13" s="14" t="s">
        <v>35</v>
      </c>
      <c r="D13" s="15" t="s">
        <v>8</v>
      </c>
      <c r="E13" s="16">
        <v>10</v>
      </c>
      <c r="F13" s="47">
        <f t="shared" si="4"/>
        <v>2701</v>
      </c>
      <c r="G13" s="47">
        <f t="shared" si="5"/>
        <v>3000</v>
      </c>
      <c r="H13" s="50">
        <f t="shared" si="6"/>
        <v>85501</v>
      </c>
      <c r="I13" s="50">
        <f t="shared" si="0"/>
        <v>87000</v>
      </c>
      <c r="J13" s="50">
        <f t="shared" si="7"/>
        <v>13501</v>
      </c>
      <c r="K13" s="50">
        <f t="shared" ref="K13" si="18">J13+1500-1</f>
        <v>15000</v>
      </c>
      <c r="L13" s="49">
        <f t="shared" si="9"/>
        <v>486001</v>
      </c>
      <c r="M13" s="49">
        <f t="shared" si="1"/>
        <v>492000</v>
      </c>
      <c r="N13" s="51">
        <f t="shared" si="10"/>
        <v>2047501</v>
      </c>
      <c r="O13" s="51">
        <f t="shared" si="2"/>
        <v>2067000</v>
      </c>
      <c r="P13" s="44">
        <f t="shared" si="11"/>
        <v>7051501</v>
      </c>
      <c r="Q13" s="44">
        <f t="shared" si="3"/>
        <v>7107000</v>
      </c>
    </row>
    <row r="14" spans="1:17" s="2" customFormat="1" ht="30" customHeight="1">
      <c r="A14" s="12" t="s">
        <v>36</v>
      </c>
      <c r="B14" s="18" t="s">
        <v>37</v>
      </c>
      <c r="C14" s="14" t="s">
        <v>38</v>
      </c>
      <c r="D14" s="15" t="s">
        <v>8</v>
      </c>
      <c r="E14" s="16">
        <v>11</v>
      </c>
      <c r="F14" s="47">
        <f t="shared" si="4"/>
        <v>3001</v>
      </c>
      <c r="G14" s="47">
        <f t="shared" si="5"/>
        <v>3300</v>
      </c>
      <c r="H14" s="50">
        <f t="shared" si="6"/>
        <v>87001</v>
      </c>
      <c r="I14" s="50">
        <f t="shared" si="0"/>
        <v>88500</v>
      </c>
      <c r="J14" s="50">
        <f t="shared" si="7"/>
        <v>15001</v>
      </c>
      <c r="K14" s="50">
        <f t="shared" ref="K14" si="19">J14+1500-1</f>
        <v>16500</v>
      </c>
      <c r="L14" s="49">
        <f t="shared" si="9"/>
        <v>492001</v>
      </c>
      <c r="M14" s="49">
        <f t="shared" si="1"/>
        <v>498000</v>
      </c>
      <c r="N14" s="51">
        <f t="shared" si="10"/>
        <v>2067001</v>
      </c>
      <c r="O14" s="51">
        <f t="shared" si="2"/>
        <v>2086500</v>
      </c>
      <c r="P14" s="44">
        <f t="shared" si="11"/>
        <v>7107001</v>
      </c>
      <c r="Q14" s="44">
        <f t="shared" si="3"/>
        <v>7162500</v>
      </c>
    </row>
    <row r="15" spans="1:17" s="2" customFormat="1" ht="30" customHeight="1">
      <c r="A15" s="12" t="s">
        <v>39</v>
      </c>
      <c r="B15" s="18" t="s">
        <v>40</v>
      </c>
      <c r="C15" s="14" t="s">
        <v>41</v>
      </c>
      <c r="D15" s="15" t="s">
        <v>8</v>
      </c>
      <c r="E15" s="16">
        <v>12</v>
      </c>
      <c r="F15" s="47">
        <f t="shared" si="4"/>
        <v>3301</v>
      </c>
      <c r="G15" s="47">
        <f t="shared" si="5"/>
        <v>3600</v>
      </c>
      <c r="H15" s="50">
        <f t="shared" si="6"/>
        <v>88501</v>
      </c>
      <c r="I15" s="50">
        <f t="shared" si="0"/>
        <v>90000</v>
      </c>
      <c r="J15" s="50">
        <f t="shared" si="7"/>
        <v>16501</v>
      </c>
      <c r="K15" s="50">
        <f t="shared" ref="K15" si="20">J15+1500-1</f>
        <v>18000</v>
      </c>
      <c r="L15" s="49">
        <f t="shared" si="9"/>
        <v>498001</v>
      </c>
      <c r="M15" s="49">
        <f t="shared" si="1"/>
        <v>504000</v>
      </c>
      <c r="N15" s="51">
        <f t="shared" si="10"/>
        <v>2086501</v>
      </c>
      <c r="O15" s="51">
        <f t="shared" si="2"/>
        <v>2106000</v>
      </c>
      <c r="P15" s="44">
        <f t="shared" si="11"/>
        <v>7162501</v>
      </c>
      <c r="Q15" s="44">
        <f t="shared" si="3"/>
        <v>7218000</v>
      </c>
    </row>
    <row r="16" spans="1:17" s="2" customFormat="1" ht="30" customHeight="1">
      <c r="A16" s="17" t="s">
        <v>42</v>
      </c>
      <c r="B16" s="18" t="s">
        <v>43</v>
      </c>
      <c r="C16" s="14" t="s">
        <v>44</v>
      </c>
      <c r="D16" s="15" t="s">
        <v>8</v>
      </c>
      <c r="E16" s="16">
        <v>13</v>
      </c>
      <c r="F16" s="47">
        <f t="shared" si="4"/>
        <v>3601</v>
      </c>
      <c r="G16" s="47">
        <f t="shared" si="5"/>
        <v>3900</v>
      </c>
      <c r="H16" s="50">
        <f t="shared" si="6"/>
        <v>90001</v>
      </c>
      <c r="I16" s="50">
        <f t="shared" si="0"/>
        <v>91500</v>
      </c>
      <c r="J16" s="50">
        <f t="shared" si="7"/>
        <v>18001</v>
      </c>
      <c r="K16" s="50">
        <f t="shared" ref="K16" si="21">J16+1500-1</f>
        <v>19500</v>
      </c>
      <c r="L16" s="49">
        <f t="shared" si="9"/>
        <v>504001</v>
      </c>
      <c r="M16" s="49">
        <f t="shared" si="1"/>
        <v>510000</v>
      </c>
      <c r="N16" s="51">
        <f t="shared" si="10"/>
        <v>2106001</v>
      </c>
      <c r="O16" s="51">
        <f t="shared" si="2"/>
        <v>2125500</v>
      </c>
      <c r="P16" s="44">
        <f t="shared" si="11"/>
        <v>7218001</v>
      </c>
      <c r="Q16" s="44">
        <f t="shared" si="3"/>
        <v>7273500</v>
      </c>
    </row>
    <row r="17" spans="1:17" s="3" customFormat="1" ht="30" customHeight="1">
      <c r="A17" s="17" t="s">
        <v>45</v>
      </c>
      <c r="B17" s="18" t="s">
        <v>46</v>
      </c>
      <c r="C17" s="14" t="s">
        <v>47</v>
      </c>
      <c r="D17" s="15" t="s">
        <v>8</v>
      </c>
      <c r="E17" s="16">
        <v>14</v>
      </c>
      <c r="F17" s="47">
        <f t="shared" si="4"/>
        <v>3901</v>
      </c>
      <c r="G17" s="47">
        <f t="shared" si="5"/>
        <v>4200</v>
      </c>
      <c r="H17" s="50">
        <f t="shared" si="6"/>
        <v>91501</v>
      </c>
      <c r="I17" s="50">
        <f t="shared" si="0"/>
        <v>93000</v>
      </c>
      <c r="J17" s="50">
        <f t="shared" si="7"/>
        <v>19501</v>
      </c>
      <c r="K17" s="50">
        <f t="shared" ref="K17" si="22">J17+1500-1</f>
        <v>21000</v>
      </c>
      <c r="L17" s="49">
        <f t="shared" si="9"/>
        <v>510001</v>
      </c>
      <c r="M17" s="49">
        <f t="shared" si="1"/>
        <v>516000</v>
      </c>
      <c r="N17" s="51">
        <f t="shared" si="10"/>
        <v>2125501</v>
      </c>
      <c r="O17" s="51">
        <f t="shared" si="2"/>
        <v>2145000</v>
      </c>
      <c r="P17" s="44">
        <f t="shared" si="11"/>
        <v>7273501</v>
      </c>
      <c r="Q17" s="44">
        <f t="shared" si="3"/>
        <v>7329000</v>
      </c>
    </row>
    <row r="18" spans="1:17" s="3" customFormat="1" ht="30" customHeight="1">
      <c r="A18" s="17" t="s">
        <v>48</v>
      </c>
      <c r="B18" s="18" t="s">
        <v>49</v>
      </c>
      <c r="C18" s="14" t="s">
        <v>50</v>
      </c>
      <c r="D18" s="15" t="s">
        <v>8</v>
      </c>
      <c r="E18" s="16">
        <v>15</v>
      </c>
      <c r="F18" s="47">
        <f t="shared" si="4"/>
        <v>4201</v>
      </c>
      <c r="G18" s="47">
        <f t="shared" si="5"/>
        <v>4500</v>
      </c>
      <c r="H18" s="50">
        <f t="shared" si="6"/>
        <v>93001</v>
      </c>
      <c r="I18" s="50">
        <f t="shared" si="0"/>
        <v>94500</v>
      </c>
      <c r="J18" s="50">
        <f t="shared" si="7"/>
        <v>21001</v>
      </c>
      <c r="K18" s="50">
        <f t="shared" ref="K18" si="23">J18+1500-1</f>
        <v>22500</v>
      </c>
      <c r="L18" s="49">
        <f t="shared" si="9"/>
        <v>516001</v>
      </c>
      <c r="M18" s="49">
        <f t="shared" si="1"/>
        <v>522000</v>
      </c>
      <c r="N18" s="51">
        <f t="shared" si="10"/>
        <v>2145001</v>
      </c>
      <c r="O18" s="51">
        <f t="shared" si="2"/>
        <v>2164500</v>
      </c>
      <c r="P18" s="44">
        <f t="shared" si="11"/>
        <v>7329001</v>
      </c>
      <c r="Q18" s="44">
        <f t="shared" si="3"/>
        <v>7384500</v>
      </c>
    </row>
    <row r="19" spans="1:17" s="3" customFormat="1" ht="30" customHeight="1">
      <c r="A19" s="17" t="s">
        <v>51</v>
      </c>
      <c r="B19" s="18" t="s">
        <v>52</v>
      </c>
      <c r="C19" s="14" t="s">
        <v>53</v>
      </c>
      <c r="D19" s="15" t="s">
        <v>8</v>
      </c>
      <c r="E19" s="16">
        <v>16</v>
      </c>
      <c r="F19" s="47">
        <f t="shared" si="4"/>
        <v>4501</v>
      </c>
      <c r="G19" s="47">
        <f t="shared" si="5"/>
        <v>4800</v>
      </c>
      <c r="H19" s="50">
        <f t="shared" si="6"/>
        <v>94501</v>
      </c>
      <c r="I19" s="50">
        <f t="shared" si="0"/>
        <v>96000</v>
      </c>
      <c r="J19" s="50">
        <f t="shared" si="7"/>
        <v>22501</v>
      </c>
      <c r="K19" s="62">
        <f t="shared" ref="K19" si="24">J19+1500-1</f>
        <v>24000</v>
      </c>
      <c r="L19" s="49">
        <f t="shared" si="9"/>
        <v>522001</v>
      </c>
      <c r="M19" s="49">
        <f t="shared" si="1"/>
        <v>528000</v>
      </c>
      <c r="N19" s="51">
        <f t="shared" si="10"/>
        <v>2164501</v>
      </c>
      <c r="O19" s="51">
        <f t="shared" si="2"/>
        <v>2184000</v>
      </c>
      <c r="P19" s="44">
        <f t="shared" si="11"/>
        <v>7384501</v>
      </c>
      <c r="Q19" s="44">
        <f t="shared" si="3"/>
        <v>7440000</v>
      </c>
    </row>
    <row r="20" spans="1:17" s="3" customFormat="1" ht="30" customHeight="1">
      <c r="A20" s="12" t="s">
        <v>54</v>
      </c>
      <c r="B20" s="18" t="s">
        <v>55</v>
      </c>
      <c r="C20" s="14" t="s">
        <v>56</v>
      </c>
      <c r="D20" s="15" t="s">
        <v>8</v>
      </c>
      <c r="E20" s="16">
        <v>17</v>
      </c>
      <c r="F20" s="47">
        <f t="shared" si="4"/>
        <v>4801</v>
      </c>
      <c r="G20" s="47">
        <f t="shared" si="5"/>
        <v>5100</v>
      </c>
      <c r="H20" s="50">
        <f t="shared" si="6"/>
        <v>96001</v>
      </c>
      <c r="I20" s="50">
        <f t="shared" si="0"/>
        <v>97500</v>
      </c>
      <c r="J20" s="62">
        <f t="shared" si="7"/>
        <v>24001</v>
      </c>
      <c r="K20" s="50">
        <f t="shared" ref="K20" si="25">J20+1500-1</f>
        <v>25500</v>
      </c>
      <c r="L20" s="49">
        <f t="shared" si="9"/>
        <v>528001</v>
      </c>
      <c r="M20" s="49">
        <f t="shared" si="1"/>
        <v>534000</v>
      </c>
      <c r="N20" s="51">
        <f t="shared" si="10"/>
        <v>2184001</v>
      </c>
      <c r="O20" s="51">
        <f t="shared" si="2"/>
        <v>2203500</v>
      </c>
      <c r="P20" s="52">
        <f t="shared" si="11"/>
        <v>7440001</v>
      </c>
      <c r="Q20" s="52">
        <f t="shared" si="3"/>
        <v>7495500</v>
      </c>
    </row>
    <row r="21" spans="1:17" s="3" customFormat="1" ht="30" customHeight="1">
      <c r="A21" s="12" t="s">
        <v>57</v>
      </c>
      <c r="B21" s="18" t="s">
        <v>58</v>
      </c>
      <c r="C21" s="14" t="s">
        <v>59</v>
      </c>
      <c r="D21" s="15" t="s">
        <v>8</v>
      </c>
      <c r="E21" s="16">
        <v>18</v>
      </c>
      <c r="F21" s="47">
        <f t="shared" si="4"/>
        <v>5101</v>
      </c>
      <c r="G21" s="47">
        <f t="shared" si="5"/>
        <v>5400</v>
      </c>
      <c r="H21" s="50">
        <f t="shared" si="6"/>
        <v>97501</v>
      </c>
      <c r="I21" s="50">
        <f t="shared" si="0"/>
        <v>99000</v>
      </c>
      <c r="J21" s="50">
        <f t="shared" si="7"/>
        <v>25501</v>
      </c>
      <c r="K21" s="50">
        <f t="shared" ref="K21" si="26">J21+1500-1</f>
        <v>27000</v>
      </c>
      <c r="L21" s="49">
        <f t="shared" si="9"/>
        <v>534001</v>
      </c>
      <c r="M21" s="49">
        <f t="shared" si="1"/>
        <v>540000</v>
      </c>
      <c r="N21" s="51">
        <f t="shared" si="10"/>
        <v>2203501</v>
      </c>
      <c r="O21" s="51">
        <f t="shared" si="2"/>
        <v>2223000</v>
      </c>
      <c r="P21" s="52">
        <f t="shared" si="11"/>
        <v>7495501</v>
      </c>
      <c r="Q21" s="52">
        <f t="shared" si="3"/>
        <v>7551000</v>
      </c>
    </row>
    <row r="22" spans="1:17" s="3" customFormat="1" ht="30" customHeight="1">
      <c r="A22" s="12" t="s">
        <v>60</v>
      </c>
      <c r="B22" s="18" t="s">
        <v>61</v>
      </c>
      <c r="C22" s="14" t="s">
        <v>62</v>
      </c>
      <c r="D22" s="15" t="s">
        <v>8</v>
      </c>
      <c r="E22" s="16">
        <v>19</v>
      </c>
      <c r="F22" s="47">
        <f t="shared" si="4"/>
        <v>5401</v>
      </c>
      <c r="G22" s="47">
        <f t="shared" si="5"/>
        <v>5700</v>
      </c>
      <c r="H22" s="50">
        <f t="shared" si="6"/>
        <v>99001</v>
      </c>
      <c r="I22" s="50">
        <f t="shared" si="0"/>
        <v>100500</v>
      </c>
      <c r="J22" s="50">
        <f t="shared" si="7"/>
        <v>27001</v>
      </c>
      <c r="K22" s="50">
        <f t="shared" ref="K22" si="27">J22+1500-1</f>
        <v>28500</v>
      </c>
      <c r="L22" s="49">
        <f t="shared" si="9"/>
        <v>540001</v>
      </c>
      <c r="M22" s="49">
        <f t="shared" si="1"/>
        <v>546000</v>
      </c>
      <c r="N22" s="51">
        <f t="shared" si="10"/>
        <v>2223001</v>
      </c>
      <c r="O22" s="51">
        <f t="shared" si="2"/>
        <v>2242500</v>
      </c>
      <c r="P22" s="52">
        <f t="shared" si="11"/>
        <v>7551001</v>
      </c>
      <c r="Q22" s="52">
        <f t="shared" si="3"/>
        <v>7606500</v>
      </c>
    </row>
    <row r="23" spans="1:17" s="3" customFormat="1" ht="30" customHeight="1">
      <c r="A23" s="12" t="s">
        <v>63</v>
      </c>
      <c r="B23" s="18" t="s">
        <v>64</v>
      </c>
      <c r="C23" s="14" t="s">
        <v>65</v>
      </c>
      <c r="D23" s="15" t="s">
        <v>8</v>
      </c>
      <c r="E23" s="16">
        <v>20</v>
      </c>
      <c r="F23" s="47">
        <f t="shared" si="4"/>
        <v>5701</v>
      </c>
      <c r="G23" s="47">
        <f t="shared" si="5"/>
        <v>6000</v>
      </c>
      <c r="H23" s="50">
        <f t="shared" si="6"/>
        <v>100501</v>
      </c>
      <c r="I23" s="50">
        <f t="shared" si="0"/>
        <v>102000</v>
      </c>
      <c r="J23" s="50">
        <f t="shared" si="7"/>
        <v>28501</v>
      </c>
      <c r="K23" s="50">
        <f t="shared" ref="K23" si="28">J23+1500-1</f>
        <v>30000</v>
      </c>
      <c r="L23" s="49">
        <f t="shared" si="9"/>
        <v>546001</v>
      </c>
      <c r="M23" s="49">
        <f t="shared" si="1"/>
        <v>552000</v>
      </c>
      <c r="N23" s="51">
        <f t="shared" si="10"/>
        <v>2242501</v>
      </c>
      <c r="O23" s="51">
        <f t="shared" si="2"/>
        <v>2262000</v>
      </c>
      <c r="P23" s="52">
        <f t="shared" si="11"/>
        <v>7606501</v>
      </c>
      <c r="Q23" s="52">
        <f t="shared" si="3"/>
        <v>7662000</v>
      </c>
    </row>
    <row r="24" spans="1:17" s="3" customFormat="1" ht="30" customHeight="1">
      <c r="A24" s="17" t="s">
        <v>66</v>
      </c>
      <c r="B24" s="18" t="s">
        <v>67</v>
      </c>
      <c r="C24" s="14" t="s">
        <v>68</v>
      </c>
      <c r="D24" s="15" t="s">
        <v>8</v>
      </c>
      <c r="E24" s="16">
        <v>21</v>
      </c>
      <c r="F24" s="47">
        <f t="shared" si="4"/>
        <v>6001</v>
      </c>
      <c r="G24" s="47">
        <f t="shared" si="5"/>
        <v>6300</v>
      </c>
      <c r="H24" s="50">
        <f t="shared" si="6"/>
        <v>102001</v>
      </c>
      <c r="I24" s="50">
        <f t="shared" si="0"/>
        <v>103500</v>
      </c>
      <c r="J24" s="50">
        <f t="shared" si="7"/>
        <v>30001</v>
      </c>
      <c r="K24" s="50">
        <f t="shared" ref="K24" si="29">J24+1500-1</f>
        <v>31500</v>
      </c>
      <c r="L24" s="49">
        <f t="shared" si="9"/>
        <v>552001</v>
      </c>
      <c r="M24" s="49">
        <f t="shared" si="1"/>
        <v>558000</v>
      </c>
      <c r="N24" s="51">
        <f t="shared" si="10"/>
        <v>2262001</v>
      </c>
      <c r="O24" s="51">
        <f t="shared" si="2"/>
        <v>2281500</v>
      </c>
      <c r="P24" s="52">
        <f t="shared" si="11"/>
        <v>7662001</v>
      </c>
      <c r="Q24" s="52">
        <f t="shared" si="3"/>
        <v>7717500</v>
      </c>
    </row>
    <row r="25" spans="1:17" s="3" customFormat="1" ht="30" customHeight="1">
      <c r="A25" s="17" t="s">
        <v>69</v>
      </c>
      <c r="B25" s="18" t="s">
        <v>70</v>
      </c>
      <c r="C25" s="14" t="s">
        <v>71</v>
      </c>
      <c r="D25" s="15" t="s">
        <v>8</v>
      </c>
      <c r="E25" s="16">
        <v>22</v>
      </c>
      <c r="F25" s="47">
        <f t="shared" si="4"/>
        <v>6301</v>
      </c>
      <c r="G25" s="47">
        <f t="shared" si="5"/>
        <v>6600</v>
      </c>
      <c r="H25" s="50">
        <f t="shared" si="6"/>
        <v>103501</v>
      </c>
      <c r="I25" s="50">
        <f t="shared" si="0"/>
        <v>105000</v>
      </c>
      <c r="J25" s="50">
        <f t="shared" si="7"/>
        <v>31501</v>
      </c>
      <c r="K25" s="50">
        <f t="shared" ref="K25" si="30">J25+1500-1</f>
        <v>33000</v>
      </c>
      <c r="L25" s="49">
        <f t="shared" si="9"/>
        <v>558001</v>
      </c>
      <c r="M25" s="49">
        <f t="shared" si="1"/>
        <v>564000</v>
      </c>
      <c r="N25" s="51">
        <f t="shared" si="10"/>
        <v>2281501</v>
      </c>
      <c r="O25" s="51">
        <f t="shared" si="2"/>
        <v>2301000</v>
      </c>
      <c r="P25" s="52">
        <f t="shared" si="11"/>
        <v>7717501</v>
      </c>
      <c r="Q25" s="52">
        <f t="shared" si="3"/>
        <v>7773000</v>
      </c>
    </row>
    <row r="26" spans="1:17" s="3" customFormat="1" ht="30" customHeight="1">
      <c r="A26" s="17" t="s">
        <v>72</v>
      </c>
      <c r="B26" s="18" t="s">
        <v>73</v>
      </c>
      <c r="C26" s="14" t="s">
        <v>74</v>
      </c>
      <c r="D26" s="15" t="s">
        <v>8</v>
      </c>
      <c r="E26" s="16">
        <v>23</v>
      </c>
      <c r="F26" s="47">
        <f t="shared" si="4"/>
        <v>6601</v>
      </c>
      <c r="G26" s="47">
        <f t="shared" si="5"/>
        <v>6900</v>
      </c>
      <c r="H26" s="50">
        <f t="shared" si="6"/>
        <v>105001</v>
      </c>
      <c r="I26" s="50">
        <f t="shared" si="0"/>
        <v>106500</v>
      </c>
      <c r="J26" s="50">
        <f t="shared" si="7"/>
        <v>33001</v>
      </c>
      <c r="K26" s="50">
        <f t="shared" ref="K26" si="31">J26+1500-1</f>
        <v>34500</v>
      </c>
      <c r="L26" s="49">
        <f t="shared" si="9"/>
        <v>564001</v>
      </c>
      <c r="M26" s="49">
        <f t="shared" si="1"/>
        <v>570000</v>
      </c>
      <c r="N26" s="51">
        <f t="shared" si="10"/>
        <v>2301001</v>
      </c>
      <c r="O26" s="51">
        <f t="shared" si="2"/>
        <v>2320500</v>
      </c>
      <c r="P26" s="52">
        <f t="shared" si="11"/>
        <v>7773001</v>
      </c>
      <c r="Q26" s="52">
        <f t="shared" si="3"/>
        <v>7828500</v>
      </c>
    </row>
    <row r="27" spans="1:17" s="3" customFormat="1" ht="30" customHeight="1">
      <c r="A27" s="17" t="s">
        <v>75</v>
      </c>
      <c r="B27" s="18" t="s">
        <v>76</v>
      </c>
      <c r="C27" s="14" t="s">
        <v>77</v>
      </c>
      <c r="D27" s="15" t="s">
        <v>8</v>
      </c>
      <c r="E27" s="16">
        <v>24</v>
      </c>
      <c r="F27" s="47">
        <f t="shared" si="4"/>
        <v>6901</v>
      </c>
      <c r="G27" s="47">
        <f t="shared" si="5"/>
        <v>7200</v>
      </c>
      <c r="H27" s="50">
        <f t="shared" si="6"/>
        <v>106501</v>
      </c>
      <c r="I27" s="50">
        <f t="shared" si="0"/>
        <v>108000</v>
      </c>
      <c r="J27" s="50">
        <f t="shared" si="7"/>
        <v>34501</v>
      </c>
      <c r="K27" s="62">
        <f t="shared" ref="K27" si="32">J27+1500-1</f>
        <v>36000</v>
      </c>
      <c r="L27" s="49">
        <f t="shared" si="9"/>
        <v>570001</v>
      </c>
      <c r="M27" s="49">
        <f t="shared" si="1"/>
        <v>576000</v>
      </c>
      <c r="N27" s="51">
        <f t="shared" si="10"/>
        <v>2320501</v>
      </c>
      <c r="O27" s="51">
        <f t="shared" si="2"/>
        <v>2340000</v>
      </c>
      <c r="P27" s="52">
        <f t="shared" si="11"/>
        <v>7828501</v>
      </c>
      <c r="Q27" s="52">
        <f t="shared" si="3"/>
        <v>7884000</v>
      </c>
    </row>
    <row r="28" spans="1:17" s="3" customFormat="1" ht="30" customHeight="1">
      <c r="A28" s="12" t="s">
        <v>78</v>
      </c>
      <c r="B28" s="18" t="s">
        <v>79</v>
      </c>
      <c r="C28" s="14" t="s">
        <v>80</v>
      </c>
      <c r="D28" s="15" t="s">
        <v>8</v>
      </c>
      <c r="E28" s="16">
        <v>25</v>
      </c>
      <c r="F28" s="47">
        <f t="shared" si="4"/>
        <v>7201</v>
      </c>
      <c r="G28" s="47">
        <f t="shared" si="5"/>
        <v>7500</v>
      </c>
      <c r="H28" s="50">
        <f t="shared" si="6"/>
        <v>108001</v>
      </c>
      <c r="I28" s="50">
        <f t="shared" si="0"/>
        <v>109500</v>
      </c>
      <c r="J28" s="62">
        <f t="shared" si="7"/>
        <v>36001</v>
      </c>
      <c r="K28" s="50">
        <f t="shared" ref="K28" si="33">J28+1500-1</f>
        <v>37500</v>
      </c>
      <c r="L28" s="49">
        <f t="shared" si="9"/>
        <v>576001</v>
      </c>
      <c r="M28" s="49">
        <f t="shared" si="1"/>
        <v>582000</v>
      </c>
      <c r="N28" s="51">
        <f t="shared" si="10"/>
        <v>2340001</v>
      </c>
      <c r="O28" s="51">
        <f t="shared" si="2"/>
        <v>2359500</v>
      </c>
      <c r="P28" s="47">
        <f t="shared" si="11"/>
        <v>7884001</v>
      </c>
      <c r="Q28" s="47">
        <f t="shared" si="3"/>
        <v>7939500</v>
      </c>
    </row>
    <row r="29" spans="1:17" s="3" customFormat="1" ht="30" customHeight="1">
      <c r="A29" s="12" t="s">
        <v>81</v>
      </c>
      <c r="B29" s="18" t="s">
        <v>82</v>
      </c>
      <c r="C29" s="14" t="s">
        <v>83</v>
      </c>
      <c r="D29" s="15" t="s">
        <v>8</v>
      </c>
      <c r="E29" s="16">
        <v>26</v>
      </c>
      <c r="F29" s="47">
        <f t="shared" si="4"/>
        <v>7501</v>
      </c>
      <c r="G29" s="47">
        <f t="shared" si="5"/>
        <v>7800</v>
      </c>
      <c r="H29" s="50">
        <f t="shared" si="6"/>
        <v>109501</v>
      </c>
      <c r="I29" s="50">
        <f t="shared" si="0"/>
        <v>111000</v>
      </c>
      <c r="J29" s="50">
        <f t="shared" si="7"/>
        <v>37501</v>
      </c>
      <c r="K29" s="50">
        <f t="shared" ref="K29" si="34">J29+1500-1</f>
        <v>39000</v>
      </c>
      <c r="L29" s="49">
        <f t="shared" si="9"/>
        <v>582001</v>
      </c>
      <c r="M29" s="49">
        <f t="shared" si="1"/>
        <v>588000</v>
      </c>
      <c r="N29" s="51">
        <f t="shared" si="10"/>
        <v>2359501</v>
      </c>
      <c r="O29" s="51">
        <f t="shared" si="2"/>
        <v>2379000</v>
      </c>
      <c r="P29" s="47">
        <f t="shared" si="11"/>
        <v>7939501</v>
      </c>
      <c r="Q29" s="47">
        <f t="shared" si="3"/>
        <v>7995000</v>
      </c>
    </row>
    <row r="30" spans="1:17" s="3" customFormat="1" ht="30" customHeight="1">
      <c r="A30" s="12" t="s">
        <v>84</v>
      </c>
      <c r="B30" s="18" t="s">
        <v>85</v>
      </c>
      <c r="C30" s="14" t="s">
        <v>86</v>
      </c>
      <c r="D30" s="15" t="s">
        <v>8</v>
      </c>
      <c r="E30" s="16">
        <v>27</v>
      </c>
      <c r="F30" s="47">
        <f t="shared" si="4"/>
        <v>7801</v>
      </c>
      <c r="G30" s="47">
        <f t="shared" si="5"/>
        <v>8100</v>
      </c>
      <c r="H30" s="50">
        <f t="shared" si="6"/>
        <v>111001</v>
      </c>
      <c r="I30" s="50">
        <f t="shared" si="0"/>
        <v>112500</v>
      </c>
      <c r="J30" s="50">
        <f t="shared" si="7"/>
        <v>39001</v>
      </c>
      <c r="K30" s="50">
        <f t="shared" ref="K30" si="35">J30+1500-1</f>
        <v>40500</v>
      </c>
      <c r="L30" s="49">
        <f t="shared" si="9"/>
        <v>588001</v>
      </c>
      <c r="M30" s="49">
        <f t="shared" si="1"/>
        <v>594000</v>
      </c>
      <c r="N30" s="51">
        <f t="shared" si="10"/>
        <v>2379001</v>
      </c>
      <c r="O30" s="51">
        <f t="shared" si="2"/>
        <v>2398500</v>
      </c>
      <c r="P30" s="47">
        <f t="shared" si="11"/>
        <v>7995001</v>
      </c>
      <c r="Q30" s="47">
        <f t="shared" si="3"/>
        <v>8050500</v>
      </c>
    </row>
    <row r="31" spans="1:17" s="3" customFormat="1" ht="30" customHeight="1">
      <c r="A31" s="12" t="s">
        <v>87</v>
      </c>
      <c r="B31" s="18" t="s">
        <v>88</v>
      </c>
      <c r="C31" s="14" t="s">
        <v>89</v>
      </c>
      <c r="D31" s="15" t="s">
        <v>8</v>
      </c>
      <c r="E31" s="16">
        <v>28</v>
      </c>
      <c r="F31" s="47">
        <f t="shared" si="4"/>
        <v>8101</v>
      </c>
      <c r="G31" s="47">
        <f t="shared" si="5"/>
        <v>8400</v>
      </c>
      <c r="H31" s="50">
        <f t="shared" si="6"/>
        <v>112501</v>
      </c>
      <c r="I31" s="50">
        <f t="shared" si="0"/>
        <v>114000</v>
      </c>
      <c r="J31" s="50">
        <f t="shared" si="7"/>
        <v>40501</v>
      </c>
      <c r="K31" s="50">
        <f t="shared" ref="K31" si="36">J31+1500-1</f>
        <v>42000</v>
      </c>
      <c r="L31" s="49">
        <f t="shared" si="9"/>
        <v>594001</v>
      </c>
      <c r="M31" s="49">
        <f t="shared" si="1"/>
        <v>600000</v>
      </c>
      <c r="N31" s="51">
        <f t="shared" si="10"/>
        <v>2398501</v>
      </c>
      <c r="O31" s="51">
        <f t="shared" si="2"/>
        <v>2418000</v>
      </c>
      <c r="P31" s="47">
        <f t="shared" si="11"/>
        <v>8050501</v>
      </c>
      <c r="Q31" s="47">
        <f t="shared" si="3"/>
        <v>8106000</v>
      </c>
    </row>
    <row r="32" spans="1:17" s="3" customFormat="1" ht="30" customHeight="1">
      <c r="A32" s="17" t="s">
        <v>90</v>
      </c>
      <c r="B32" s="18" t="s">
        <v>91</v>
      </c>
      <c r="C32" s="14" t="s">
        <v>92</v>
      </c>
      <c r="D32" s="15" t="s">
        <v>8</v>
      </c>
      <c r="E32" s="16">
        <v>29</v>
      </c>
      <c r="F32" s="47">
        <f t="shared" si="4"/>
        <v>8401</v>
      </c>
      <c r="G32" s="47">
        <f t="shared" si="5"/>
        <v>8700</v>
      </c>
      <c r="H32" s="50">
        <f t="shared" si="6"/>
        <v>114001</v>
      </c>
      <c r="I32" s="50">
        <f t="shared" si="0"/>
        <v>115500</v>
      </c>
      <c r="J32" s="50">
        <f t="shared" si="7"/>
        <v>42001</v>
      </c>
      <c r="K32" s="50">
        <f t="shared" ref="K32" si="37">J32+1500-1</f>
        <v>43500</v>
      </c>
      <c r="L32" s="49">
        <f t="shared" si="9"/>
        <v>600001</v>
      </c>
      <c r="M32" s="49">
        <f t="shared" si="1"/>
        <v>606000</v>
      </c>
      <c r="N32" s="51">
        <f t="shared" si="10"/>
        <v>2418001</v>
      </c>
      <c r="O32" s="51">
        <f t="shared" si="2"/>
        <v>2437500</v>
      </c>
      <c r="P32" s="47">
        <f t="shared" si="11"/>
        <v>8106001</v>
      </c>
      <c r="Q32" s="47">
        <f t="shared" si="3"/>
        <v>8161500</v>
      </c>
    </row>
    <row r="33" spans="1:17" s="3" customFormat="1" ht="30" customHeight="1">
      <c r="A33" s="17" t="s">
        <v>93</v>
      </c>
      <c r="B33" s="18" t="s">
        <v>94</v>
      </c>
      <c r="C33" s="14" t="s">
        <v>95</v>
      </c>
      <c r="D33" s="15" t="s">
        <v>8</v>
      </c>
      <c r="E33" s="16">
        <v>30</v>
      </c>
      <c r="F33" s="47">
        <f t="shared" si="4"/>
        <v>8701</v>
      </c>
      <c r="G33" s="47">
        <f t="shared" si="5"/>
        <v>9000</v>
      </c>
      <c r="H33" s="50">
        <f t="shared" si="6"/>
        <v>115501</v>
      </c>
      <c r="I33" s="50">
        <f t="shared" si="0"/>
        <v>117000</v>
      </c>
      <c r="J33" s="50">
        <f t="shared" si="7"/>
        <v>43501</v>
      </c>
      <c r="K33" s="50">
        <f t="shared" ref="K33" si="38">J33+1500-1</f>
        <v>45000</v>
      </c>
      <c r="L33" s="49">
        <f t="shared" si="9"/>
        <v>606001</v>
      </c>
      <c r="M33" s="49">
        <f t="shared" si="1"/>
        <v>612000</v>
      </c>
      <c r="N33" s="51">
        <f t="shared" si="10"/>
        <v>2437501</v>
      </c>
      <c r="O33" s="51">
        <f t="shared" si="2"/>
        <v>2457000</v>
      </c>
      <c r="P33" s="47">
        <f t="shared" si="11"/>
        <v>8161501</v>
      </c>
      <c r="Q33" s="47">
        <f t="shared" si="3"/>
        <v>8217000</v>
      </c>
    </row>
    <row r="34" spans="1:17" s="3" customFormat="1" ht="30" customHeight="1">
      <c r="A34" s="17" t="s">
        <v>96</v>
      </c>
      <c r="B34" s="18" t="s">
        <v>97</v>
      </c>
      <c r="C34" s="14" t="s">
        <v>98</v>
      </c>
      <c r="D34" s="15" t="s">
        <v>8</v>
      </c>
      <c r="E34" s="16">
        <v>31</v>
      </c>
      <c r="F34" s="47">
        <f t="shared" si="4"/>
        <v>9001</v>
      </c>
      <c r="G34" s="47">
        <f t="shared" si="5"/>
        <v>9300</v>
      </c>
      <c r="H34" s="50">
        <f t="shared" si="6"/>
        <v>117001</v>
      </c>
      <c r="I34" s="50">
        <f t="shared" si="0"/>
        <v>118500</v>
      </c>
      <c r="J34" s="50">
        <f t="shared" si="7"/>
        <v>45001</v>
      </c>
      <c r="K34" s="50">
        <f t="shared" ref="K34" si="39">J34+1500-1</f>
        <v>46500</v>
      </c>
      <c r="L34" s="49">
        <f t="shared" si="9"/>
        <v>612001</v>
      </c>
      <c r="M34" s="49">
        <f t="shared" si="1"/>
        <v>618000</v>
      </c>
      <c r="N34" s="51">
        <f t="shared" si="10"/>
        <v>2457001</v>
      </c>
      <c r="O34" s="51">
        <f t="shared" si="2"/>
        <v>2476500</v>
      </c>
      <c r="P34" s="47">
        <f t="shared" si="11"/>
        <v>8217001</v>
      </c>
      <c r="Q34" s="47">
        <f t="shared" si="3"/>
        <v>8272500</v>
      </c>
    </row>
    <row r="35" spans="1:17" s="3" customFormat="1" ht="30" customHeight="1">
      <c r="A35" s="17" t="s">
        <v>99</v>
      </c>
      <c r="B35" s="18" t="s">
        <v>100</v>
      </c>
      <c r="C35" s="14" t="s">
        <v>101</v>
      </c>
      <c r="D35" s="15" t="s">
        <v>8</v>
      </c>
      <c r="E35" s="16">
        <v>32</v>
      </c>
      <c r="F35" s="47">
        <f t="shared" si="4"/>
        <v>9301</v>
      </c>
      <c r="G35" s="47">
        <f t="shared" si="5"/>
        <v>9600</v>
      </c>
      <c r="H35" s="50">
        <f t="shared" si="6"/>
        <v>118501</v>
      </c>
      <c r="I35" s="50">
        <f t="shared" si="0"/>
        <v>120000</v>
      </c>
      <c r="J35" s="50">
        <f t="shared" si="7"/>
        <v>46501</v>
      </c>
      <c r="K35" s="62">
        <f t="shared" ref="K35" si="40">J35+1500-1</f>
        <v>48000</v>
      </c>
      <c r="L35" s="49">
        <f t="shared" si="9"/>
        <v>618001</v>
      </c>
      <c r="M35" s="49">
        <f t="shared" si="1"/>
        <v>624000</v>
      </c>
      <c r="N35" s="51">
        <f t="shared" si="10"/>
        <v>2476501</v>
      </c>
      <c r="O35" s="51">
        <f t="shared" si="2"/>
        <v>2496000</v>
      </c>
      <c r="P35" s="47">
        <f t="shared" si="11"/>
        <v>8272501</v>
      </c>
      <c r="Q35" s="47">
        <f t="shared" si="3"/>
        <v>8328000</v>
      </c>
    </row>
    <row r="36" spans="1:17" s="3" customFormat="1" ht="30" customHeight="1">
      <c r="A36" s="12" t="s">
        <v>102</v>
      </c>
      <c r="B36" s="18" t="s">
        <v>103</v>
      </c>
      <c r="C36" s="14" t="s">
        <v>104</v>
      </c>
      <c r="D36" s="15" t="s">
        <v>8</v>
      </c>
      <c r="E36" s="16">
        <v>33</v>
      </c>
      <c r="F36" s="47">
        <f t="shared" si="4"/>
        <v>9601</v>
      </c>
      <c r="G36" s="47">
        <f t="shared" si="5"/>
        <v>9900</v>
      </c>
      <c r="H36" s="50">
        <f t="shared" si="6"/>
        <v>120001</v>
      </c>
      <c r="I36" s="50">
        <f t="shared" si="0"/>
        <v>121500</v>
      </c>
      <c r="J36" s="62">
        <f t="shared" si="7"/>
        <v>48001</v>
      </c>
      <c r="K36" s="50">
        <f t="shared" ref="K36" si="41">J36+1500-1</f>
        <v>49500</v>
      </c>
      <c r="L36" s="49">
        <f t="shared" si="9"/>
        <v>624001</v>
      </c>
      <c r="M36" s="49">
        <f t="shared" si="1"/>
        <v>630000</v>
      </c>
      <c r="N36" s="51">
        <f t="shared" si="10"/>
        <v>2496001</v>
      </c>
      <c r="O36" s="51">
        <f t="shared" si="2"/>
        <v>2515500</v>
      </c>
      <c r="P36" s="52">
        <f t="shared" si="11"/>
        <v>8328001</v>
      </c>
      <c r="Q36" s="52">
        <f t="shared" si="3"/>
        <v>8383500</v>
      </c>
    </row>
    <row r="37" spans="1:17" s="3" customFormat="1" ht="30" customHeight="1">
      <c r="A37" s="12" t="s">
        <v>105</v>
      </c>
      <c r="B37" s="18" t="s">
        <v>106</v>
      </c>
      <c r="C37" s="14" t="s">
        <v>107</v>
      </c>
      <c r="D37" s="15" t="s">
        <v>8</v>
      </c>
      <c r="E37" s="16">
        <v>34</v>
      </c>
      <c r="F37" s="47">
        <f t="shared" si="4"/>
        <v>9901</v>
      </c>
      <c r="G37" s="47">
        <f t="shared" si="5"/>
        <v>10200</v>
      </c>
      <c r="H37" s="50">
        <f t="shared" si="6"/>
        <v>121501</v>
      </c>
      <c r="I37" s="50">
        <f t="shared" si="0"/>
        <v>123000</v>
      </c>
      <c r="J37" s="50">
        <f t="shared" si="7"/>
        <v>49501</v>
      </c>
      <c r="K37" s="50">
        <f t="shared" ref="K37" si="42">J37+1500-1</f>
        <v>51000</v>
      </c>
      <c r="L37" s="49">
        <f t="shared" si="9"/>
        <v>630001</v>
      </c>
      <c r="M37" s="49">
        <f t="shared" si="1"/>
        <v>636000</v>
      </c>
      <c r="N37" s="51">
        <f t="shared" si="10"/>
        <v>2515501</v>
      </c>
      <c r="O37" s="51">
        <f t="shared" si="2"/>
        <v>2535000</v>
      </c>
      <c r="P37" s="52">
        <f t="shared" si="11"/>
        <v>8383501</v>
      </c>
      <c r="Q37" s="52">
        <f t="shared" si="3"/>
        <v>8439000</v>
      </c>
    </row>
    <row r="38" spans="1:17" s="3" customFormat="1" ht="30" customHeight="1">
      <c r="A38" s="12" t="s">
        <v>108</v>
      </c>
      <c r="B38" s="18" t="s">
        <v>109</v>
      </c>
      <c r="C38" s="14" t="s">
        <v>110</v>
      </c>
      <c r="D38" s="15" t="s">
        <v>8</v>
      </c>
      <c r="E38" s="16">
        <v>35</v>
      </c>
      <c r="F38" s="47">
        <f t="shared" si="4"/>
        <v>10201</v>
      </c>
      <c r="G38" s="47">
        <f t="shared" si="5"/>
        <v>10500</v>
      </c>
      <c r="H38" s="50">
        <f t="shared" si="6"/>
        <v>123001</v>
      </c>
      <c r="I38" s="50">
        <f t="shared" si="0"/>
        <v>124500</v>
      </c>
      <c r="J38" s="50">
        <f t="shared" si="7"/>
        <v>51001</v>
      </c>
      <c r="K38" s="50">
        <f t="shared" ref="K38" si="43">J38+1500-1</f>
        <v>52500</v>
      </c>
      <c r="L38" s="49">
        <f t="shared" si="9"/>
        <v>636001</v>
      </c>
      <c r="M38" s="49">
        <f t="shared" si="1"/>
        <v>642000</v>
      </c>
      <c r="N38" s="51">
        <f t="shared" si="10"/>
        <v>2535001</v>
      </c>
      <c r="O38" s="51">
        <f t="shared" si="2"/>
        <v>2554500</v>
      </c>
      <c r="P38" s="52">
        <f t="shared" si="11"/>
        <v>8439001</v>
      </c>
      <c r="Q38" s="52">
        <f t="shared" si="3"/>
        <v>8494500</v>
      </c>
    </row>
    <row r="39" spans="1:17" s="3" customFormat="1" ht="30" customHeight="1">
      <c r="A39" s="12" t="s">
        <v>111</v>
      </c>
      <c r="B39" s="18" t="s">
        <v>112</v>
      </c>
      <c r="C39" s="14" t="s">
        <v>113</v>
      </c>
      <c r="D39" s="15" t="s">
        <v>8</v>
      </c>
      <c r="E39" s="16">
        <v>36</v>
      </c>
      <c r="F39" s="47">
        <f t="shared" si="4"/>
        <v>10501</v>
      </c>
      <c r="G39" s="47">
        <f t="shared" si="5"/>
        <v>10800</v>
      </c>
      <c r="H39" s="50">
        <f t="shared" si="6"/>
        <v>124501</v>
      </c>
      <c r="I39" s="50">
        <f t="shared" si="0"/>
        <v>126000</v>
      </c>
      <c r="J39" s="50">
        <f t="shared" si="7"/>
        <v>52501</v>
      </c>
      <c r="K39" s="50">
        <f t="shared" ref="K39" si="44">J39+1500-1</f>
        <v>54000</v>
      </c>
      <c r="L39" s="49">
        <f t="shared" si="9"/>
        <v>642001</v>
      </c>
      <c r="M39" s="49">
        <f t="shared" si="1"/>
        <v>648000</v>
      </c>
      <c r="N39" s="51">
        <f t="shared" si="10"/>
        <v>2554501</v>
      </c>
      <c r="O39" s="51">
        <f t="shared" si="2"/>
        <v>2574000</v>
      </c>
      <c r="P39" s="52">
        <f t="shared" si="11"/>
        <v>8494501</v>
      </c>
      <c r="Q39" s="52">
        <f t="shared" si="3"/>
        <v>8550000</v>
      </c>
    </row>
    <row r="40" spans="1:17" s="3" customFormat="1" ht="30" customHeight="1">
      <c r="A40" s="17" t="s">
        <v>114</v>
      </c>
      <c r="B40" s="18" t="s">
        <v>115</v>
      </c>
      <c r="C40" s="14" t="s">
        <v>116</v>
      </c>
      <c r="D40" s="15" t="s">
        <v>8</v>
      </c>
      <c r="E40" s="16">
        <v>37</v>
      </c>
      <c r="F40" s="47">
        <f t="shared" si="4"/>
        <v>10801</v>
      </c>
      <c r="G40" s="47">
        <f t="shared" si="5"/>
        <v>11100</v>
      </c>
      <c r="H40" s="50">
        <f t="shared" si="6"/>
        <v>126001</v>
      </c>
      <c r="I40" s="50">
        <f t="shared" si="0"/>
        <v>127500</v>
      </c>
      <c r="J40" s="50">
        <f t="shared" si="7"/>
        <v>54001</v>
      </c>
      <c r="K40" s="50">
        <f t="shared" ref="K40" si="45">J40+1500-1</f>
        <v>55500</v>
      </c>
      <c r="L40" s="49">
        <f t="shared" si="9"/>
        <v>648001</v>
      </c>
      <c r="M40" s="49">
        <f t="shared" si="1"/>
        <v>654000</v>
      </c>
      <c r="N40" s="51">
        <f t="shared" si="10"/>
        <v>2574001</v>
      </c>
      <c r="O40" s="51">
        <f t="shared" si="2"/>
        <v>2593500</v>
      </c>
      <c r="P40" s="52">
        <f t="shared" si="11"/>
        <v>8550001</v>
      </c>
      <c r="Q40" s="52">
        <f t="shared" si="3"/>
        <v>8605500</v>
      </c>
    </row>
    <row r="41" spans="1:17" s="3" customFormat="1" ht="30" customHeight="1">
      <c r="A41" s="17" t="s">
        <v>117</v>
      </c>
      <c r="B41" s="18" t="s">
        <v>118</v>
      </c>
      <c r="C41" s="14" t="s">
        <v>119</v>
      </c>
      <c r="D41" s="15" t="s">
        <v>8</v>
      </c>
      <c r="E41" s="16">
        <v>38</v>
      </c>
      <c r="F41" s="47">
        <f t="shared" si="4"/>
        <v>11101</v>
      </c>
      <c r="G41" s="47">
        <f t="shared" si="5"/>
        <v>11400</v>
      </c>
      <c r="H41" s="50">
        <f t="shared" si="6"/>
        <v>127501</v>
      </c>
      <c r="I41" s="50">
        <f t="shared" si="0"/>
        <v>129000</v>
      </c>
      <c r="J41" s="50">
        <f t="shared" si="7"/>
        <v>55501</v>
      </c>
      <c r="K41" s="50">
        <f t="shared" ref="K41" si="46">J41+1500-1</f>
        <v>57000</v>
      </c>
      <c r="L41" s="49">
        <f t="shared" si="9"/>
        <v>654001</v>
      </c>
      <c r="M41" s="49">
        <f t="shared" si="1"/>
        <v>660000</v>
      </c>
      <c r="N41" s="51">
        <f t="shared" si="10"/>
        <v>2593501</v>
      </c>
      <c r="O41" s="51">
        <f t="shared" si="2"/>
        <v>2613000</v>
      </c>
      <c r="P41" s="52">
        <f t="shared" si="11"/>
        <v>8605501</v>
      </c>
      <c r="Q41" s="52">
        <f t="shared" si="3"/>
        <v>8661000</v>
      </c>
    </row>
    <row r="42" spans="1:17" s="3" customFormat="1" ht="30" customHeight="1">
      <c r="A42" s="17" t="s">
        <v>120</v>
      </c>
      <c r="B42" s="18" t="s">
        <v>121</v>
      </c>
      <c r="C42" s="14" t="s">
        <v>122</v>
      </c>
      <c r="D42" s="15" t="s">
        <v>8</v>
      </c>
      <c r="E42" s="16">
        <v>39</v>
      </c>
      <c r="F42" s="47">
        <f t="shared" si="4"/>
        <v>11401</v>
      </c>
      <c r="G42" s="47">
        <f t="shared" si="5"/>
        <v>11700</v>
      </c>
      <c r="H42" s="50">
        <f t="shared" si="6"/>
        <v>129001</v>
      </c>
      <c r="I42" s="50">
        <f t="shared" si="0"/>
        <v>130500</v>
      </c>
      <c r="J42" s="50">
        <f t="shared" si="7"/>
        <v>57001</v>
      </c>
      <c r="K42" s="50">
        <f t="shared" ref="K42" si="47">J42+1500-1</f>
        <v>58500</v>
      </c>
      <c r="L42" s="49">
        <f t="shared" si="9"/>
        <v>660001</v>
      </c>
      <c r="M42" s="49">
        <f t="shared" si="1"/>
        <v>666000</v>
      </c>
      <c r="N42" s="51">
        <f t="shared" si="10"/>
        <v>2613001</v>
      </c>
      <c r="O42" s="51">
        <f t="shared" si="2"/>
        <v>2632500</v>
      </c>
      <c r="P42" s="52">
        <f t="shared" si="11"/>
        <v>8661001</v>
      </c>
      <c r="Q42" s="52">
        <f t="shared" si="3"/>
        <v>8716500</v>
      </c>
    </row>
    <row r="43" spans="1:17" s="3" customFormat="1" ht="30" customHeight="1">
      <c r="A43" s="17" t="s">
        <v>123</v>
      </c>
      <c r="B43" s="18" t="s">
        <v>124</v>
      </c>
      <c r="C43" s="14" t="s">
        <v>125</v>
      </c>
      <c r="D43" s="15" t="s">
        <v>8</v>
      </c>
      <c r="E43" s="16">
        <v>40</v>
      </c>
      <c r="F43" s="47">
        <f t="shared" si="4"/>
        <v>11701</v>
      </c>
      <c r="G43" s="47">
        <f t="shared" si="5"/>
        <v>12000</v>
      </c>
      <c r="H43" s="50">
        <f t="shared" si="6"/>
        <v>130501</v>
      </c>
      <c r="I43" s="50">
        <f t="shared" si="0"/>
        <v>132000</v>
      </c>
      <c r="J43" s="50">
        <f t="shared" si="7"/>
        <v>58501</v>
      </c>
      <c r="K43" s="63">
        <f t="shared" ref="K43" si="48">J43+1500-1</f>
        <v>60000</v>
      </c>
      <c r="L43" s="49">
        <f t="shared" si="9"/>
        <v>666001</v>
      </c>
      <c r="M43" s="49">
        <f t="shared" si="1"/>
        <v>672000</v>
      </c>
      <c r="N43" s="51">
        <f t="shared" si="10"/>
        <v>2632501</v>
      </c>
      <c r="O43" s="51">
        <f t="shared" si="2"/>
        <v>2652000</v>
      </c>
      <c r="P43" s="52">
        <f t="shared" si="11"/>
        <v>8716501</v>
      </c>
      <c r="Q43" s="52">
        <f t="shared" si="3"/>
        <v>8772000</v>
      </c>
    </row>
    <row r="44" spans="1:17" s="3" customFormat="1" ht="30" customHeight="1">
      <c r="A44" s="12" t="s">
        <v>126</v>
      </c>
      <c r="B44" s="18" t="s">
        <v>127</v>
      </c>
      <c r="C44" s="14" t="s">
        <v>128</v>
      </c>
      <c r="D44" s="15" t="s">
        <v>8</v>
      </c>
      <c r="E44" s="16">
        <v>41</v>
      </c>
      <c r="F44" s="47">
        <f t="shared" si="4"/>
        <v>12001</v>
      </c>
      <c r="G44" s="47">
        <f t="shared" si="5"/>
        <v>12300</v>
      </c>
      <c r="H44" s="50">
        <f t="shared" si="6"/>
        <v>132001</v>
      </c>
      <c r="I44" s="50">
        <f t="shared" si="0"/>
        <v>133500</v>
      </c>
      <c r="J44" s="63">
        <f t="shared" si="7"/>
        <v>60001</v>
      </c>
      <c r="K44" s="50">
        <f t="shared" ref="K44" si="49">J44+1500-1</f>
        <v>61500</v>
      </c>
      <c r="L44" s="49">
        <f t="shared" si="9"/>
        <v>672001</v>
      </c>
      <c r="M44" s="49">
        <f t="shared" si="1"/>
        <v>678000</v>
      </c>
      <c r="N44" s="50">
        <f t="shared" si="10"/>
        <v>2652001</v>
      </c>
      <c r="O44" s="50">
        <f t="shared" si="2"/>
        <v>2671500</v>
      </c>
      <c r="P44" s="47">
        <f t="shared" si="11"/>
        <v>8772001</v>
      </c>
      <c r="Q44" s="47">
        <f t="shared" si="3"/>
        <v>8827500</v>
      </c>
    </row>
    <row r="45" spans="1:17" s="3" customFormat="1" ht="30" customHeight="1">
      <c r="A45" s="12" t="s">
        <v>129</v>
      </c>
      <c r="B45" s="18" t="s">
        <v>130</v>
      </c>
      <c r="C45" s="14" t="s">
        <v>131</v>
      </c>
      <c r="D45" s="15" t="s">
        <v>8</v>
      </c>
      <c r="E45" s="16">
        <v>42</v>
      </c>
      <c r="F45" s="47">
        <f t="shared" si="4"/>
        <v>12301</v>
      </c>
      <c r="G45" s="47">
        <f t="shared" si="5"/>
        <v>12600</v>
      </c>
      <c r="H45" s="50">
        <f t="shared" si="6"/>
        <v>133501</v>
      </c>
      <c r="I45" s="50">
        <f t="shared" si="0"/>
        <v>135000</v>
      </c>
      <c r="J45" s="50">
        <f t="shared" si="7"/>
        <v>61501</v>
      </c>
      <c r="K45" s="50">
        <f t="shared" ref="K45" si="50">J45+1500-1</f>
        <v>63000</v>
      </c>
      <c r="L45" s="49">
        <f t="shared" si="9"/>
        <v>678001</v>
      </c>
      <c r="M45" s="49">
        <f t="shared" si="1"/>
        <v>684000</v>
      </c>
      <c r="N45" s="50">
        <f t="shared" si="10"/>
        <v>2671501</v>
      </c>
      <c r="O45" s="50">
        <f t="shared" si="2"/>
        <v>2691000</v>
      </c>
      <c r="P45" s="47">
        <f t="shared" si="11"/>
        <v>8827501</v>
      </c>
      <c r="Q45" s="47">
        <f t="shared" si="3"/>
        <v>8883000</v>
      </c>
    </row>
    <row r="46" spans="1:17" s="3" customFormat="1" ht="30" customHeight="1">
      <c r="A46" s="17" t="s">
        <v>132</v>
      </c>
      <c r="B46" s="18" t="s">
        <v>133</v>
      </c>
      <c r="C46" s="14" t="s">
        <v>134</v>
      </c>
      <c r="D46" s="15" t="s">
        <v>8</v>
      </c>
      <c r="E46" s="16">
        <v>43</v>
      </c>
      <c r="F46" s="47">
        <f t="shared" si="4"/>
        <v>12601</v>
      </c>
      <c r="G46" s="47">
        <f t="shared" si="5"/>
        <v>12900</v>
      </c>
      <c r="H46" s="50">
        <f t="shared" si="6"/>
        <v>135001</v>
      </c>
      <c r="I46" s="50">
        <f t="shared" si="0"/>
        <v>136500</v>
      </c>
      <c r="J46" s="50">
        <f t="shared" si="7"/>
        <v>63001</v>
      </c>
      <c r="K46" s="50">
        <f t="shared" ref="K46" si="51">J46+1500-1</f>
        <v>64500</v>
      </c>
      <c r="L46" s="49">
        <f t="shared" si="9"/>
        <v>684001</v>
      </c>
      <c r="M46" s="49">
        <f t="shared" si="1"/>
        <v>690000</v>
      </c>
      <c r="N46" s="50">
        <f t="shared" si="10"/>
        <v>2691001</v>
      </c>
      <c r="O46" s="50">
        <f t="shared" si="2"/>
        <v>2710500</v>
      </c>
      <c r="P46" s="47">
        <f t="shared" si="11"/>
        <v>8883001</v>
      </c>
      <c r="Q46" s="47">
        <f t="shared" si="3"/>
        <v>8938500</v>
      </c>
    </row>
    <row r="47" spans="1:17" s="3" customFormat="1" ht="30" customHeight="1">
      <c r="A47" s="17" t="s">
        <v>135</v>
      </c>
      <c r="B47" s="18" t="s">
        <v>136</v>
      </c>
      <c r="C47" s="14" t="s">
        <v>137</v>
      </c>
      <c r="D47" s="15" t="s">
        <v>8</v>
      </c>
      <c r="E47" s="16">
        <v>44</v>
      </c>
      <c r="F47" s="47">
        <f t="shared" si="4"/>
        <v>12901</v>
      </c>
      <c r="G47" s="47">
        <f t="shared" si="5"/>
        <v>13200</v>
      </c>
      <c r="H47" s="50">
        <f t="shared" si="6"/>
        <v>136501</v>
      </c>
      <c r="I47" s="50">
        <f t="shared" si="0"/>
        <v>138000</v>
      </c>
      <c r="J47" s="50">
        <f t="shared" si="7"/>
        <v>64501</v>
      </c>
      <c r="K47" s="50">
        <f t="shared" ref="K47" si="52">J47+1500-1</f>
        <v>66000</v>
      </c>
      <c r="L47" s="49">
        <f t="shared" si="9"/>
        <v>690001</v>
      </c>
      <c r="M47" s="49">
        <f t="shared" si="1"/>
        <v>696000</v>
      </c>
      <c r="N47" s="50">
        <f t="shared" si="10"/>
        <v>2710501</v>
      </c>
      <c r="O47" s="50">
        <f t="shared" si="2"/>
        <v>2730000</v>
      </c>
      <c r="P47" s="47">
        <f t="shared" si="11"/>
        <v>8938501</v>
      </c>
      <c r="Q47" s="47">
        <f t="shared" si="3"/>
        <v>8994000</v>
      </c>
    </row>
    <row r="48" spans="1:17" s="3" customFormat="1" ht="30" customHeight="1">
      <c r="A48" s="12" t="s">
        <v>138</v>
      </c>
      <c r="B48" s="18" t="s">
        <v>139</v>
      </c>
      <c r="C48" s="14" t="s">
        <v>140</v>
      </c>
      <c r="D48" s="15" t="s">
        <v>8</v>
      </c>
      <c r="E48" s="16">
        <v>45</v>
      </c>
      <c r="F48" s="47">
        <f t="shared" si="4"/>
        <v>13201</v>
      </c>
      <c r="G48" s="47">
        <f t="shared" si="5"/>
        <v>13500</v>
      </c>
      <c r="H48" s="50">
        <f t="shared" si="6"/>
        <v>138001</v>
      </c>
      <c r="I48" s="50">
        <f t="shared" si="0"/>
        <v>139500</v>
      </c>
      <c r="J48" s="50">
        <f t="shared" si="7"/>
        <v>66001</v>
      </c>
      <c r="K48" s="50">
        <f t="shared" ref="K48" si="53">J48+1500-1</f>
        <v>67500</v>
      </c>
      <c r="L48" s="49">
        <f t="shared" si="9"/>
        <v>696001</v>
      </c>
      <c r="M48" s="49">
        <f t="shared" si="1"/>
        <v>702000</v>
      </c>
      <c r="N48" s="50">
        <f t="shared" si="10"/>
        <v>2730001</v>
      </c>
      <c r="O48" s="50">
        <f t="shared" si="2"/>
        <v>2749500</v>
      </c>
      <c r="P48" s="47">
        <f t="shared" si="11"/>
        <v>8994001</v>
      </c>
      <c r="Q48" s="47">
        <f t="shared" si="3"/>
        <v>9049500</v>
      </c>
    </row>
    <row r="49" spans="1:17" s="3" customFormat="1" ht="30" customHeight="1">
      <c r="A49" s="12" t="s">
        <v>141</v>
      </c>
      <c r="B49" s="18" t="s">
        <v>142</v>
      </c>
      <c r="C49" s="14" t="s">
        <v>143</v>
      </c>
      <c r="D49" s="15" t="s">
        <v>8</v>
      </c>
      <c r="E49" s="16">
        <v>46</v>
      </c>
      <c r="F49" s="47">
        <f t="shared" si="4"/>
        <v>13501</v>
      </c>
      <c r="G49" s="47">
        <f t="shared" si="5"/>
        <v>13800</v>
      </c>
      <c r="H49" s="50">
        <f t="shared" si="6"/>
        <v>139501</v>
      </c>
      <c r="I49" s="50">
        <f t="shared" si="0"/>
        <v>141000</v>
      </c>
      <c r="J49" s="50">
        <f t="shared" si="7"/>
        <v>67501</v>
      </c>
      <c r="K49" s="50">
        <f t="shared" ref="K49" si="54">J49+1500-1</f>
        <v>69000</v>
      </c>
      <c r="L49" s="49">
        <f t="shared" si="9"/>
        <v>702001</v>
      </c>
      <c r="M49" s="49">
        <f t="shared" si="1"/>
        <v>708000</v>
      </c>
      <c r="N49" s="50">
        <f t="shared" si="10"/>
        <v>2749501</v>
      </c>
      <c r="O49" s="50">
        <f t="shared" si="2"/>
        <v>2769000</v>
      </c>
      <c r="P49" s="47">
        <f t="shared" si="11"/>
        <v>9049501</v>
      </c>
      <c r="Q49" s="47">
        <f t="shared" si="3"/>
        <v>9105000</v>
      </c>
    </row>
    <row r="50" spans="1:17" s="3" customFormat="1" ht="30" customHeight="1">
      <c r="A50" s="17" t="s">
        <v>144</v>
      </c>
      <c r="B50" s="18" t="s">
        <v>145</v>
      </c>
      <c r="C50" s="14" t="s">
        <v>146</v>
      </c>
      <c r="D50" s="15" t="s">
        <v>8</v>
      </c>
      <c r="E50" s="16">
        <v>47</v>
      </c>
      <c r="F50" s="47">
        <f t="shared" si="4"/>
        <v>13801</v>
      </c>
      <c r="G50" s="47">
        <f t="shared" si="5"/>
        <v>14100</v>
      </c>
      <c r="H50" s="50">
        <f t="shared" si="6"/>
        <v>141001</v>
      </c>
      <c r="I50" s="50">
        <f t="shared" si="0"/>
        <v>142500</v>
      </c>
      <c r="J50" s="50">
        <f t="shared" si="7"/>
        <v>69001</v>
      </c>
      <c r="K50" s="50">
        <f t="shared" ref="K50" si="55">J50+1500-1</f>
        <v>70500</v>
      </c>
      <c r="L50" s="49">
        <f t="shared" si="9"/>
        <v>708001</v>
      </c>
      <c r="M50" s="49">
        <f t="shared" si="1"/>
        <v>714000</v>
      </c>
      <c r="N50" s="50">
        <f t="shared" si="10"/>
        <v>2769001</v>
      </c>
      <c r="O50" s="50">
        <f t="shared" si="2"/>
        <v>2788500</v>
      </c>
      <c r="P50" s="47">
        <f t="shared" si="11"/>
        <v>9105001</v>
      </c>
      <c r="Q50" s="47">
        <f t="shared" si="3"/>
        <v>9160500</v>
      </c>
    </row>
    <row r="51" spans="1:17" s="3" customFormat="1" ht="30" customHeight="1">
      <c r="A51" s="17" t="s">
        <v>147</v>
      </c>
      <c r="B51" s="18" t="s">
        <v>148</v>
      </c>
      <c r="C51" s="14" t="s">
        <v>149</v>
      </c>
      <c r="D51" s="15" t="s">
        <v>8</v>
      </c>
      <c r="E51" s="16">
        <v>48</v>
      </c>
      <c r="F51" s="47">
        <f t="shared" si="4"/>
        <v>14101</v>
      </c>
      <c r="G51" s="47">
        <f t="shared" si="5"/>
        <v>14400</v>
      </c>
      <c r="H51" s="50">
        <f t="shared" si="6"/>
        <v>142501</v>
      </c>
      <c r="I51" s="50">
        <f t="shared" si="0"/>
        <v>144000</v>
      </c>
      <c r="J51" s="50">
        <f t="shared" si="7"/>
        <v>70501</v>
      </c>
      <c r="K51" s="64">
        <f t="shared" ref="K51" si="56">J51+1500-1</f>
        <v>72000</v>
      </c>
      <c r="L51" s="49">
        <f t="shared" si="9"/>
        <v>714001</v>
      </c>
      <c r="M51" s="56">
        <f t="shared" si="1"/>
        <v>720000</v>
      </c>
      <c r="N51" s="50">
        <f t="shared" si="10"/>
        <v>2788501</v>
      </c>
      <c r="O51" s="50">
        <f t="shared" si="2"/>
        <v>2808000</v>
      </c>
      <c r="P51" s="47">
        <f t="shared" si="11"/>
        <v>9160501</v>
      </c>
      <c r="Q51" s="47">
        <f t="shared" si="3"/>
        <v>9216000</v>
      </c>
    </row>
    <row r="52" spans="1:17" s="3" customFormat="1" ht="30" customHeight="1">
      <c r="A52" s="12" t="s">
        <v>150</v>
      </c>
      <c r="B52" s="18" t="s">
        <v>151</v>
      </c>
      <c r="C52" s="14" t="s">
        <v>152</v>
      </c>
      <c r="D52" s="15" t="s">
        <v>8</v>
      </c>
      <c r="E52" s="16">
        <v>49</v>
      </c>
      <c r="F52" s="47">
        <f t="shared" si="4"/>
        <v>14401</v>
      </c>
      <c r="G52" s="47">
        <f t="shared" si="5"/>
        <v>14700</v>
      </c>
      <c r="H52" s="50">
        <f t="shared" si="6"/>
        <v>144001</v>
      </c>
      <c r="I52" s="50">
        <f t="shared" si="0"/>
        <v>145500</v>
      </c>
      <c r="J52" s="64">
        <f t="shared" si="7"/>
        <v>72001</v>
      </c>
      <c r="K52" s="50">
        <f t="shared" ref="K52" si="57">J52+1500-1</f>
        <v>73500</v>
      </c>
      <c r="L52" s="50">
        <f t="shared" si="9"/>
        <v>720001</v>
      </c>
      <c r="M52" s="50">
        <f t="shared" si="1"/>
        <v>726000</v>
      </c>
      <c r="N52" s="50">
        <f t="shared" si="10"/>
        <v>2808001</v>
      </c>
      <c r="O52" s="50">
        <f t="shared" si="2"/>
        <v>2827500</v>
      </c>
      <c r="P52" s="52">
        <f t="shared" si="11"/>
        <v>9216001</v>
      </c>
      <c r="Q52" s="52">
        <f t="shared" si="3"/>
        <v>9271500</v>
      </c>
    </row>
    <row r="53" spans="1:17" s="3" customFormat="1" ht="30" customHeight="1">
      <c r="A53" s="12" t="s">
        <v>153</v>
      </c>
      <c r="B53" s="18" t="s">
        <v>154</v>
      </c>
      <c r="C53" s="14" t="s">
        <v>155</v>
      </c>
      <c r="D53" s="15" t="s">
        <v>8</v>
      </c>
      <c r="E53" s="16">
        <v>50</v>
      </c>
      <c r="F53" s="47">
        <f t="shared" si="4"/>
        <v>14701</v>
      </c>
      <c r="G53" s="47">
        <f t="shared" si="5"/>
        <v>15000</v>
      </c>
      <c r="H53" s="50">
        <f t="shared" si="6"/>
        <v>145501</v>
      </c>
      <c r="I53" s="50">
        <f t="shared" si="0"/>
        <v>147000</v>
      </c>
      <c r="J53" s="50">
        <f t="shared" si="7"/>
        <v>73501</v>
      </c>
      <c r="K53" s="50">
        <f t="shared" ref="K53" si="58">J53+1500-1</f>
        <v>75000</v>
      </c>
      <c r="L53" s="50">
        <f t="shared" si="9"/>
        <v>726001</v>
      </c>
      <c r="M53" s="50">
        <f t="shared" si="1"/>
        <v>732000</v>
      </c>
      <c r="N53" s="50">
        <f t="shared" si="10"/>
        <v>2827501</v>
      </c>
      <c r="O53" s="50">
        <f t="shared" si="2"/>
        <v>2847000</v>
      </c>
      <c r="P53" s="52">
        <f t="shared" si="11"/>
        <v>9271501</v>
      </c>
      <c r="Q53" s="52">
        <f t="shared" si="3"/>
        <v>9327000</v>
      </c>
    </row>
    <row r="54" spans="1:17" s="3" customFormat="1" ht="30" customHeight="1">
      <c r="A54" s="17" t="s">
        <v>156</v>
      </c>
      <c r="B54" s="18" t="s">
        <v>157</v>
      </c>
      <c r="C54" s="14" t="s">
        <v>158</v>
      </c>
      <c r="D54" s="15" t="s">
        <v>8</v>
      </c>
      <c r="E54" s="16">
        <v>51</v>
      </c>
      <c r="F54" s="47">
        <f t="shared" si="4"/>
        <v>15001</v>
      </c>
      <c r="G54" s="47">
        <f t="shared" si="5"/>
        <v>15300</v>
      </c>
      <c r="H54" s="50">
        <f t="shared" si="6"/>
        <v>147001</v>
      </c>
      <c r="I54" s="50">
        <f t="shared" si="0"/>
        <v>148500</v>
      </c>
      <c r="J54" s="50">
        <f t="shared" si="7"/>
        <v>75001</v>
      </c>
      <c r="K54" s="50">
        <f t="shared" ref="K54" si="59">J54+1500-1</f>
        <v>76500</v>
      </c>
      <c r="L54" s="50">
        <f t="shared" si="9"/>
        <v>732001</v>
      </c>
      <c r="M54" s="50">
        <f t="shared" si="1"/>
        <v>738000</v>
      </c>
      <c r="N54" s="50">
        <f t="shared" si="10"/>
        <v>2847001</v>
      </c>
      <c r="O54" s="50">
        <f t="shared" si="2"/>
        <v>2866500</v>
      </c>
      <c r="P54" s="52">
        <f t="shared" si="11"/>
        <v>9327001</v>
      </c>
      <c r="Q54" s="52">
        <f t="shared" si="3"/>
        <v>9382500</v>
      </c>
    </row>
    <row r="55" spans="1:17" s="3" customFormat="1" ht="30" customHeight="1">
      <c r="A55" s="17" t="s">
        <v>159</v>
      </c>
      <c r="B55" s="18" t="s">
        <v>160</v>
      </c>
      <c r="C55" s="14" t="s">
        <v>161</v>
      </c>
      <c r="D55" s="15" t="s">
        <v>8</v>
      </c>
      <c r="E55" s="16">
        <v>52</v>
      </c>
      <c r="F55" s="47">
        <f t="shared" si="4"/>
        <v>15301</v>
      </c>
      <c r="G55" s="47">
        <f t="shared" si="5"/>
        <v>15600</v>
      </c>
      <c r="H55" s="50">
        <f t="shared" si="6"/>
        <v>148501</v>
      </c>
      <c r="I55" s="50">
        <f t="shared" si="0"/>
        <v>150000</v>
      </c>
      <c r="J55" s="50">
        <f t="shared" si="7"/>
        <v>76501</v>
      </c>
      <c r="K55" s="50">
        <f t="shared" ref="K55" si="60">J55+1500-1</f>
        <v>78000</v>
      </c>
      <c r="L55" s="50">
        <f t="shared" si="9"/>
        <v>738001</v>
      </c>
      <c r="M55" s="50">
        <f t="shared" si="1"/>
        <v>744000</v>
      </c>
      <c r="N55" s="50">
        <f t="shared" si="10"/>
        <v>2866501</v>
      </c>
      <c r="O55" s="50">
        <f t="shared" si="2"/>
        <v>2886000</v>
      </c>
      <c r="P55" s="52">
        <f t="shared" si="11"/>
        <v>9382501</v>
      </c>
      <c r="Q55" s="52">
        <f t="shared" si="3"/>
        <v>9438000</v>
      </c>
    </row>
    <row r="56" spans="1:17" s="3" customFormat="1" ht="30" customHeight="1">
      <c r="A56" s="12" t="s">
        <v>162</v>
      </c>
      <c r="B56" s="18" t="s">
        <v>163</v>
      </c>
      <c r="C56" s="14" t="s">
        <v>164</v>
      </c>
      <c r="D56" s="15" t="s">
        <v>8</v>
      </c>
      <c r="E56" s="16">
        <v>53</v>
      </c>
      <c r="F56" s="47">
        <f t="shared" si="4"/>
        <v>15601</v>
      </c>
      <c r="G56" s="47">
        <f t="shared" si="5"/>
        <v>15900</v>
      </c>
      <c r="H56" s="50">
        <f t="shared" si="6"/>
        <v>150001</v>
      </c>
      <c r="I56" s="50">
        <f t="shared" si="0"/>
        <v>151500</v>
      </c>
      <c r="J56" s="50">
        <f t="shared" si="7"/>
        <v>78001</v>
      </c>
      <c r="K56" s="50">
        <f t="shared" ref="K56" si="61">J56+1500-1</f>
        <v>79500</v>
      </c>
      <c r="L56" s="50">
        <f t="shared" si="9"/>
        <v>744001</v>
      </c>
      <c r="M56" s="50">
        <f t="shared" si="1"/>
        <v>750000</v>
      </c>
      <c r="N56" s="50">
        <f t="shared" si="10"/>
        <v>2886001</v>
      </c>
      <c r="O56" s="50">
        <f t="shared" si="2"/>
        <v>2905500</v>
      </c>
      <c r="P56" s="52">
        <f t="shared" si="11"/>
        <v>9438001</v>
      </c>
      <c r="Q56" s="52">
        <f t="shared" si="3"/>
        <v>9493500</v>
      </c>
    </row>
    <row r="57" spans="1:17" s="3" customFormat="1" ht="30" customHeight="1">
      <c r="A57" s="12" t="s">
        <v>165</v>
      </c>
      <c r="B57" s="18" t="s">
        <v>166</v>
      </c>
      <c r="C57" s="14" t="s">
        <v>167</v>
      </c>
      <c r="D57" s="15" t="s">
        <v>8</v>
      </c>
      <c r="E57" s="16">
        <v>54</v>
      </c>
      <c r="F57" s="47">
        <f t="shared" si="4"/>
        <v>15901</v>
      </c>
      <c r="G57" s="47">
        <f t="shared" si="5"/>
        <v>16200</v>
      </c>
      <c r="H57" s="50">
        <f t="shared" si="6"/>
        <v>151501</v>
      </c>
      <c r="I57" s="50">
        <f t="shared" si="0"/>
        <v>153000</v>
      </c>
      <c r="J57" s="50">
        <f t="shared" si="7"/>
        <v>79501</v>
      </c>
      <c r="K57" s="50">
        <f t="shared" ref="K57" si="62">J57+1500-1</f>
        <v>81000</v>
      </c>
      <c r="L57" s="50">
        <f t="shared" si="9"/>
        <v>750001</v>
      </c>
      <c r="M57" s="50">
        <f t="shared" si="1"/>
        <v>756000</v>
      </c>
      <c r="N57" s="50">
        <f t="shared" si="10"/>
        <v>2905501</v>
      </c>
      <c r="O57" s="50">
        <f t="shared" si="2"/>
        <v>2925000</v>
      </c>
      <c r="P57" s="52">
        <f t="shared" si="11"/>
        <v>9493501</v>
      </c>
      <c r="Q57" s="52">
        <f t="shared" si="3"/>
        <v>9549000</v>
      </c>
    </row>
    <row r="58" spans="1:17" s="3" customFormat="1" ht="30" customHeight="1">
      <c r="A58" s="17" t="s">
        <v>168</v>
      </c>
      <c r="B58" s="18" t="s">
        <v>169</v>
      </c>
      <c r="C58" s="14" t="s">
        <v>170</v>
      </c>
      <c r="D58" s="15" t="s">
        <v>8</v>
      </c>
      <c r="E58" s="16">
        <v>55</v>
      </c>
      <c r="F58" s="47">
        <f t="shared" si="4"/>
        <v>16201</v>
      </c>
      <c r="G58" s="47">
        <f t="shared" si="5"/>
        <v>16500</v>
      </c>
      <c r="H58" s="50">
        <f t="shared" si="6"/>
        <v>153001</v>
      </c>
      <c r="I58" s="50">
        <f t="shared" si="0"/>
        <v>154500</v>
      </c>
      <c r="J58" s="50">
        <f t="shared" si="7"/>
        <v>81001</v>
      </c>
      <c r="K58" s="50">
        <f t="shared" ref="K58" si="63">J58+1500-1</f>
        <v>82500</v>
      </c>
      <c r="L58" s="50">
        <f t="shared" si="9"/>
        <v>756001</v>
      </c>
      <c r="M58" s="50">
        <f t="shared" si="1"/>
        <v>762000</v>
      </c>
      <c r="N58" s="50">
        <f t="shared" si="10"/>
        <v>2925001</v>
      </c>
      <c r="O58" s="50">
        <f t="shared" si="2"/>
        <v>2944500</v>
      </c>
      <c r="P58" s="52">
        <f t="shared" si="11"/>
        <v>9549001</v>
      </c>
      <c r="Q58" s="52">
        <f t="shared" si="3"/>
        <v>9604500</v>
      </c>
    </row>
    <row r="59" spans="1:17" s="3" customFormat="1" ht="30" customHeight="1">
      <c r="A59" s="17" t="s">
        <v>171</v>
      </c>
      <c r="B59" s="18" t="s">
        <v>172</v>
      </c>
      <c r="C59" s="14" t="s">
        <v>173</v>
      </c>
      <c r="D59" s="15" t="s">
        <v>8</v>
      </c>
      <c r="E59" s="16">
        <v>56</v>
      </c>
      <c r="F59" s="47">
        <f t="shared" si="4"/>
        <v>16501</v>
      </c>
      <c r="G59" s="47">
        <f t="shared" si="5"/>
        <v>16800</v>
      </c>
      <c r="H59" s="50">
        <f t="shared" si="6"/>
        <v>154501</v>
      </c>
      <c r="I59" s="50">
        <f t="shared" si="0"/>
        <v>156000</v>
      </c>
      <c r="J59" s="50">
        <f t="shared" si="7"/>
        <v>82501</v>
      </c>
      <c r="K59" s="62">
        <f t="shared" ref="K59" si="64">J59+1500-1</f>
        <v>84000</v>
      </c>
      <c r="L59" s="50">
        <f t="shared" si="9"/>
        <v>762001</v>
      </c>
      <c r="M59" s="50">
        <f t="shared" si="1"/>
        <v>768000</v>
      </c>
      <c r="N59" s="50">
        <f t="shared" si="10"/>
        <v>2944501</v>
      </c>
      <c r="O59" s="50">
        <f t="shared" si="2"/>
        <v>2964000</v>
      </c>
      <c r="P59" s="52">
        <f t="shared" si="11"/>
        <v>9604501</v>
      </c>
      <c r="Q59" s="52">
        <f t="shared" si="3"/>
        <v>9660000</v>
      </c>
    </row>
    <row r="60" spans="1:17" s="3" customFormat="1" ht="30" customHeight="1">
      <c r="A60" s="17" t="s">
        <v>174</v>
      </c>
      <c r="B60" s="18" t="s">
        <v>175</v>
      </c>
      <c r="C60" s="14" t="s">
        <v>176</v>
      </c>
      <c r="D60" s="15" t="s">
        <v>8</v>
      </c>
      <c r="E60" s="16">
        <v>57</v>
      </c>
      <c r="F60" s="47">
        <f t="shared" si="4"/>
        <v>16801</v>
      </c>
      <c r="G60" s="47">
        <f t="shared" si="5"/>
        <v>17100</v>
      </c>
      <c r="H60" s="50">
        <f t="shared" si="6"/>
        <v>156001</v>
      </c>
      <c r="I60" s="50">
        <f t="shared" si="0"/>
        <v>157500</v>
      </c>
      <c r="J60" s="62">
        <f t="shared" si="7"/>
        <v>84001</v>
      </c>
      <c r="K60" s="50">
        <f t="shared" ref="K60" si="65">J60+1500-1</f>
        <v>85500</v>
      </c>
      <c r="L60" s="50">
        <f t="shared" si="9"/>
        <v>768001</v>
      </c>
      <c r="M60" s="50">
        <f t="shared" si="1"/>
        <v>774000</v>
      </c>
      <c r="N60" s="50">
        <f t="shared" si="10"/>
        <v>2964001</v>
      </c>
      <c r="O60" s="50">
        <f t="shared" si="2"/>
        <v>2983500</v>
      </c>
      <c r="P60" s="47">
        <f t="shared" si="11"/>
        <v>9660001</v>
      </c>
      <c r="Q60" s="47">
        <f t="shared" si="3"/>
        <v>9715500</v>
      </c>
    </row>
    <row r="61" spans="1:17" s="3" customFormat="1" ht="30" customHeight="1">
      <c r="A61" s="17" t="s">
        <v>177</v>
      </c>
      <c r="B61" s="18" t="s">
        <v>178</v>
      </c>
      <c r="C61" s="14" t="s">
        <v>179</v>
      </c>
      <c r="D61" s="15" t="s">
        <v>8</v>
      </c>
      <c r="E61" s="16">
        <v>58</v>
      </c>
      <c r="F61" s="47">
        <f t="shared" si="4"/>
        <v>17101</v>
      </c>
      <c r="G61" s="47">
        <f t="shared" si="5"/>
        <v>17400</v>
      </c>
      <c r="H61" s="50">
        <f t="shared" si="6"/>
        <v>157501</v>
      </c>
      <c r="I61" s="50">
        <f t="shared" si="0"/>
        <v>159000</v>
      </c>
      <c r="J61" s="50">
        <f t="shared" si="7"/>
        <v>85501</v>
      </c>
      <c r="K61" s="50">
        <f t="shared" ref="K61" si="66">J61+1500-1</f>
        <v>87000</v>
      </c>
      <c r="L61" s="50">
        <f t="shared" si="9"/>
        <v>774001</v>
      </c>
      <c r="M61" s="50">
        <f t="shared" si="1"/>
        <v>780000</v>
      </c>
      <c r="N61" s="50">
        <f t="shared" si="10"/>
        <v>2983501</v>
      </c>
      <c r="O61" s="50">
        <f t="shared" si="2"/>
        <v>3003000</v>
      </c>
      <c r="P61" s="47">
        <f t="shared" si="11"/>
        <v>9715501</v>
      </c>
      <c r="Q61" s="47">
        <f t="shared" si="3"/>
        <v>9771000</v>
      </c>
    </row>
    <row r="62" spans="1:17" s="3" customFormat="1" ht="30" customHeight="1">
      <c r="A62" s="12" t="s">
        <v>180</v>
      </c>
      <c r="B62" s="18" t="s">
        <v>181</v>
      </c>
      <c r="C62" s="14" t="s">
        <v>182</v>
      </c>
      <c r="D62" s="15" t="s">
        <v>8</v>
      </c>
      <c r="E62" s="16">
        <v>59</v>
      </c>
      <c r="F62" s="47">
        <f t="shared" si="4"/>
        <v>17401</v>
      </c>
      <c r="G62" s="47">
        <f t="shared" si="5"/>
        <v>17700</v>
      </c>
      <c r="H62" s="50">
        <f t="shared" si="6"/>
        <v>159001</v>
      </c>
      <c r="I62" s="50">
        <f t="shared" si="0"/>
        <v>160500</v>
      </c>
      <c r="J62" s="50">
        <f t="shared" si="7"/>
        <v>87001</v>
      </c>
      <c r="K62" s="50">
        <f t="shared" ref="K62" si="67">J62+1500-1</f>
        <v>88500</v>
      </c>
      <c r="L62" s="50">
        <f t="shared" si="9"/>
        <v>780001</v>
      </c>
      <c r="M62" s="50">
        <f t="shared" si="1"/>
        <v>786000</v>
      </c>
      <c r="N62" s="50">
        <f t="shared" si="10"/>
        <v>3003001</v>
      </c>
      <c r="O62" s="50">
        <f t="shared" si="2"/>
        <v>3022500</v>
      </c>
      <c r="P62" s="47">
        <f t="shared" si="11"/>
        <v>9771001</v>
      </c>
      <c r="Q62" s="47">
        <f t="shared" si="3"/>
        <v>9826500</v>
      </c>
    </row>
    <row r="63" spans="1:17" s="3" customFormat="1" ht="30" customHeight="1">
      <c r="A63" s="12" t="s">
        <v>183</v>
      </c>
      <c r="B63" s="18" t="s">
        <v>184</v>
      </c>
      <c r="C63" s="14" t="s">
        <v>185</v>
      </c>
      <c r="D63" s="15" t="s">
        <v>8</v>
      </c>
      <c r="E63" s="16">
        <v>60</v>
      </c>
      <c r="F63" s="47">
        <f t="shared" si="4"/>
        <v>17701</v>
      </c>
      <c r="G63" s="47">
        <f t="shared" si="5"/>
        <v>18000</v>
      </c>
      <c r="H63" s="50">
        <f t="shared" si="6"/>
        <v>160501</v>
      </c>
      <c r="I63" s="50">
        <f t="shared" si="0"/>
        <v>162000</v>
      </c>
      <c r="J63" s="50">
        <f t="shared" si="7"/>
        <v>88501</v>
      </c>
      <c r="K63" s="50">
        <f t="shared" ref="K63" si="68">J63+1500-1</f>
        <v>90000</v>
      </c>
      <c r="L63" s="50">
        <f t="shared" si="9"/>
        <v>786001</v>
      </c>
      <c r="M63" s="50">
        <f t="shared" si="1"/>
        <v>792000</v>
      </c>
      <c r="N63" s="50">
        <f t="shared" si="10"/>
        <v>3022501</v>
      </c>
      <c r="O63" s="50">
        <f t="shared" si="2"/>
        <v>3042000</v>
      </c>
      <c r="P63" s="47">
        <f t="shared" si="11"/>
        <v>9826501</v>
      </c>
      <c r="Q63" s="47">
        <f t="shared" si="3"/>
        <v>9882000</v>
      </c>
    </row>
    <row r="64" spans="1:17" s="3" customFormat="1" ht="30" customHeight="1">
      <c r="A64" s="12" t="s">
        <v>186</v>
      </c>
      <c r="B64" s="18" t="s">
        <v>187</v>
      </c>
      <c r="C64" s="14" t="s">
        <v>188</v>
      </c>
      <c r="D64" s="15" t="s">
        <v>8</v>
      </c>
      <c r="E64" s="16">
        <v>61</v>
      </c>
      <c r="F64" s="47">
        <f t="shared" si="4"/>
        <v>18001</v>
      </c>
      <c r="G64" s="47">
        <f t="shared" si="5"/>
        <v>18300</v>
      </c>
      <c r="H64" s="50">
        <f t="shared" si="6"/>
        <v>162001</v>
      </c>
      <c r="I64" s="50">
        <f t="shared" si="0"/>
        <v>163500</v>
      </c>
      <c r="J64" s="50">
        <f t="shared" si="7"/>
        <v>90001</v>
      </c>
      <c r="K64" s="50">
        <f t="shared" ref="K64" si="69">J64+1500-1</f>
        <v>91500</v>
      </c>
      <c r="L64" s="50">
        <f t="shared" si="9"/>
        <v>792001</v>
      </c>
      <c r="M64" s="50">
        <f t="shared" si="1"/>
        <v>798000</v>
      </c>
      <c r="N64" s="50">
        <f t="shared" si="10"/>
        <v>3042001</v>
      </c>
      <c r="O64" s="50">
        <f t="shared" si="2"/>
        <v>3061500</v>
      </c>
      <c r="P64" s="47">
        <f t="shared" si="11"/>
        <v>9882001</v>
      </c>
      <c r="Q64" s="47">
        <f t="shared" si="3"/>
        <v>9937500</v>
      </c>
    </row>
    <row r="65" spans="1:17" s="3" customFormat="1" ht="30" customHeight="1">
      <c r="A65" s="12" t="s">
        <v>189</v>
      </c>
      <c r="B65" s="18" t="s">
        <v>190</v>
      </c>
      <c r="C65" s="14" t="s">
        <v>191</v>
      </c>
      <c r="D65" s="15" t="s">
        <v>8</v>
      </c>
      <c r="E65" s="16">
        <v>62</v>
      </c>
      <c r="F65" s="47">
        <f t="shared" si="4"/>
        <v>18301</v>
      </c>
      <c r="G65" s="47">
        <f t="shared" si="5"/>
        <v>18600</v>
      </c>
      <c r="H65" s="50">
        <f t="shared" si="6"/>
        <v>163501</v>
      </c>
      <c r="I65" s="50">
        <f t="shared" si="0"/>
        <v>165000</v>
      </c>
      <c r="J65" s="50">
        <f t="shared" si="7"/>
        <v>91501</v>
      </c>
      <c r="K65" s="50">
        <f t="shared" ref="K65" si="70">J65+1500-1</f>
        <v>93000</v>
      </c>
      <c r="L65" s="50">
        <f t="shared" si="9"/>
        <v>798001</v>
      </c>
      <c r="M65" s="50">
        <f t="shared" si="1"/>
        <v>804000</v>
      </c>
      <c r="N65" s="50">
        <f t="shared" si="10"/>
        <v>3061501</v>
      </c>
      <c r="O65" s="50">
        <f t="shared" si="2"/>
        <v>3081000</v>
      </c>
      <c r="P65" s="47">
        <f t="shared" si="11"/>
        <v>9937501</v>
      </c>
      <c r="Q65" s="47">
        <f t="shared" si="3"/>
        <v>9993000</v>
      </c>
    </row>
    <row r="66" spans="1:17" s="3" customFormat="1" ht="30" customHeight="1">
      <c r="A66" s="17" t="s">
        <v>192</v>
      </c>
      <c r="B66" s="18" t="s">
        <v>193</v>
      </c>
      <c r="C66" s="14" t="s">
        <v>194</v>
      </c>
      <c r="D66" s="15" t="s">
        <v>8</v>
      </c>
      <c r="E66" s="16">
        <v>63</v>
      </c>
      <c r="F66" s="47">
        <f t="shared" si="4"/>
        <v>18601</v>
      </c>
      <c r="G66" s="47">
        <f t="shared" si="5"/>
        <v>18900</v>
      </c>
      <c r="H66" s="50">
        <f t="shared" si="6"/>
        <v>165001</v>
      </c>
      <c r="I66" s="50">
        <f t="shared" si="0"/>
        <v>166500</v>
      </c>
      <c r="J66" s="50">
        <f t="shared" si="7"/>
        <v>93001</v>
      </c>
      <c r="K66" s="50">
        <f t="shared" ref="K66" si="71">J66+1500-1</f>
        <v>94500</v>
      </c>
      <c r="L66" s="50">
        <f t="shared" si="9"/>
        <v>804001</v>
      </c>
      <c r="M66" s="50">
        <f t="shared" si="1"/>
        <v>810000</v>
      </c>
      <c r="N66" s="50">
        <f t="shared" si="10"/>
        <v>3081001</v>
      </c>
      <c r="O66" s="50">
        <f t="shared" si="2"/>
        <v>3100500</v>
      </c>
      <c r="P66" s="47">
        <f t="shared" si="11"/>
        <v>9993001</v>
      </c>
      <c r="Q66" s="47">
        <f t="shared" si="3"/>
        <v>10048500</v>
      </c>
    </row>
    <row r="67" spans="1:17" s="3" customFormat="1" ht="30" customHeight="1">
      <c r="A67" s="17" t="s">
        <v>195</v>
      </c>
      <c r="B67" s="18" t="s">
        <v>196</v>
      </c>
      <c r="C67" s="14" t="s">
        <v>197</v>
      </c>
      <c r="D67" s="15" t="s">
        <v>8</v>
      </c>
      <c r="E67" s="16">
        <v>64</v>
      </c>
      <c r="F67" s="47">
        <f t="shared" si="4"/>
        <v>18901</v>
      </c>
      <c r="G67" s="47">
        <f t="shared" si="5"/>
        <v>19200</v>
      </c>
      <c r="H67" s="50">
        <f t="shared" si="6"/>
        <v>166501</v>
      </c>
      <c r="I67" s="50">
        <f t="shared" si="0"/>
        <v>168000</v>
      </c>
      <c r="J67" s="50">
        <f t="shared" si="7"/>
        <v>94501</v>
      </c>
      <c r="K67" s="50">
        <f t="shared" ref="K67" si="72">J67+1500-1</f>
        <v>96000</v>
      </c>
      <c r="L67" s="50">
        <f t="shared" si="9"/>
        <v>810001</v>
      </c>
      <c r="M67" s="50">
        <f t="shared" si="1"/>
        <v>816000</v>
      </c>
      <c r="N67" s="50">
        <f t="shared" si="10"/>
        <v>3100501</v>
      </c>
      <c r="O67" s="50">
        <f t="shared" si="2"/>
        <v>3120000</v>
      </c>
      <c r="P67" s="47">
        <f t="shared" si="11"/>
        <v>10048501</v>
      </c>
      <c r="Q67" s="47">
        <f t="shared" si="3"/>
        <v>10104000</v>
      </c>
    </row>
    <row r="68" spans="1:17" s="3" customFormat="1" ht="30" customHeight="1">
      <c r="A68" s="17" t="s">
        <v>198</v>
      </c>
      <c r="B68" s="18" t="s">
        <v>199</v>
      </c>
      <c r="C68" s="14" t="s">
        <v>200</v>
      </c>
      <c r="D68" s="15" t="s">
        <v>8</v>
      </c>
      <c r="E68" s="16">
        <v>65</v>
      </c>
      <c r="F68" s="47">
        <f t="shared" si="4"/>
        <v>19201</v>
      </c>
      <c r="G68" s="47">
        <f t="shared" si="5"/>
        <v>19500</v>
      </c>
      <c r="H68" s="50">
        <f t="shared" si="6"/>
        <v>168001</v>
      </c>
      <c r="I68" s="50">
        <f t="shared" si="0"/>
        <v>169500</v>
      </c>
      <c r="J68" s="50">
        <f t="shared" si="7"/>
        <v>96001</v>
      </c>
      <c r="K68" s="50">
        <f t="shared" ref="K68" si="73">J68+1500-1</f>
        <v>97500</v>
      </c>
      <c r="L68" s="50">
        <f t="shared" si="9"/>
        <v>816001</v>
      </c>
      <c r="M68" s="50">
        <f t="shared" si="1"/>
        <v>822000</v>
      </c>
      <c r="N68" s="50">
        <f t="shared" si="10"/>
        <v>3120001</v>
      </c>
      <c r="O68" s="50">
        <f t="shared" si="2"/>
        <v>3139500</v>
      </c>
      <c r="P68" s="52">
        <f t="shared" si="11"/>
        <v>10104001</v>
      </c>
      <c r="Q68" s="52">
        <f t="shared" si="3"/>
        <v>10159500</v>
      </c>
    </row>
    <row r="69" spans="1:17" s="3" customFormat="1" ht="30" customHeight="1">
      <c r="A69" s="17" t="s">
        <v>201</v>
      </c>
      <c r="B69" s="18" t="s">
        <v>202</v>
      </c>
      <c r="C69" s="14" t="s">
        <v>203</v>
      </c>
      <c r="D69" s="15" t="s">
        <v>8</v>
      </c>
      <c r="E69" s="16">
        <v>66</v>
      </c>
      <c r="F69" s="47">
        <f t="shared" si="4"/>
        <v>19501</v>
      </c>
      <c r="G69" s="47">
        <f t="shared" si="5"/>
        <v>19800</v>
      </c>
      <c r="H69" s="50">
        <f t="shared" si="6"/>
        <v>169501</v>
      </c>
      <c r="I69" s="50">
        <f t="shared" ref="I69:I132" si="74">H69+1500-1</f>
        <v>171000</v>
      </c>
      <c r="J69" s="50">
        <f t="shared" si="7"/>
        <v>97501</v>
      </c>
      <c r="K69" s="50">
        <f t="shared" ref="K69" si="75">J69+1500-1</f>
        <v>99000</v>
      </c>
      <c r="L69" s="50">
        <f t="shared" si="9"/>
        <v>822001</v>
      </c>
      <c r="M69" s="50">
        <f t="shared" ref="M69:M132" si="76">L69+6000-1</f>
        <v>828000</v>
      </c>
      <c r="N69" s="50">
        <f t="shared" si="10"/>
        <v>3139501</v>
      </c>
      <c r="O69" s="50">
        <f t="shared" ref="O69:O132" si="77">N69+19500-1</f>
        <v>3159000</v>
      </c>
      <c r="P69" s="52">
        <f t="shared" si="11"/>
        <v>10159501</v>
      </c>
      <c r="Q69" s="52">
        <f t="shared" ref="Q69:Q132" si="78">P69+55500-1</f>
        <v>10215000</v>
      </c>
    </row>
    <row r="70" spans="1:17" s="3" customFormat="1" ht="30" customHeight="1">
      <c r="A70" s="12" t="s">
        <v>204</v>
      </c>
      <c r="B70" s="18" t="s">
        <v>205</v>
      </c>
      <c r="C70" s="14" t="s">
        <v>206</v>
      </c>
      <c r="D70" s="15" t="s">
        <v>8</v>
      </c>
      <c r="E70" s="16">
        <v>67</v>
      </c>
      <c r="F70" s="47">
        <f t="shared" ref="F70:F133" si="79">G69+1</f>
        <v>19801</v>
      </c>
      <c r="G70" s="47">
        <f t="shared" ref="G70:G133" si="80">F70+300-1</f>
        <v>20100</v>
      </c>
      <c r="H70" s="50">
        <f t="shared" ref="H70:H133" si="81">I69+1</f>
        <v>171001</v>
      </c>
      <c r="I70" s="50">
        <f t="shared" si="74"/>
        <v>172500</v>
      </c>
      <c r="J70" s="50">
        <f t="shared" ref="J70:J133" si="82">K69+1</f>
        <v>99001</v>
      </c>
      <c r="K70" s="50">
        <f t="shared" ref="K70" si="83">J70+1500-1</f>
        <v>100500</v>
      </c>
      <c r="L70" s="50">
        <f t="shared" ref="L70:L133" si="84">M69+1</f>
        <v>828001</v>
      </c>
      <c r="M70" s="50">
        <f t="shared" si="76"/>
        <v>834000</v>
      </c>
      <c r="N70" s="50">
        <f t="shared" ref="N70:N133" si="85">O69+1</f>
        <v>3159001</v>
      </c>
      <c r="O70" s="50">
        <f t="shared" si="77"/>
        <v>3178500</v>
      </c>
      <c r="P70" s="52">
        <f t="shared" ref="P70:P133" si="86">Q69+1</f>
        <v>10215001</v>
      </c>
      <c r="Q70" s="52">
        <f t="shared" si="78"/>
        <v>10270500</v>
      </c>
    </row>
    <row r="71" spans="1:17" s="3" customFormat="1" ht="30" customHeight="1">
      <c r="A71" s="12" t="s">
        <v>207</v>
      </c>
      <c r="B71" s="18" t="s">
        <v>208</v>
      </c>
      <c r="C71" s="14" t="s">
        <v>209</v>
      </c>
      <c r="D71" s="15" t="s">
        <v>8</v>
      </c>
      <c r="E71" s="16">
        <v>68</v>
      </c>
      <c r="F71" s="47">
        <f t="shared" si="79"/>
        <v>20101</v>
      </c>
      <c r="G71" s="47">
        <f t="shared" si="80"/>
        <v>20400</v>
      </c>
      <c r="H71" s="50">
        <f t="shared" si="81"/>
        <v>172501</v>
      </c>
      <c r="I71" s="50">
        <f t="shared" si="74"/>
        <v>174000</v>
      </c>
      <c r="J71" s="50">
        <f t="shared" si="82"/>
        <v>100501</v>
      </c>
      <c r="K71" s="50">
        <f t="shared" ref="K71" si="87">J71+1500-1</f>
        <v>102000</v>
      </c>
      <c r="L71" s="50">
        <f t="shared" si="84"/>
        <v>834001</v>
      </c>
      <c r="M71" s="50">
        <f t="shared" si="76"/>
        <v>840000</v>
      </c>
      <c r="N71" s="50">
        <f t="shared" si="85"/>
        <v>3178501</v>
      </c>
      <c r="O71" s="50">
        <f t="shared" si="77"/>
        <v>3198000</v>
      </c>
      <c r="P71" s="52">
        <f t="shared" si="86"/>
        <v>10270501</v>
      </c>
      <c r="Q71" s="52">
        <f t="shared" si="78"/>
        <v>10326000</v>
      </c>
    </row>
    <row r="72" spans="1:17" s="3" customFormat="1" ht="30" customHeight="1">
      <c r="A72" s="12" t="s">
        <v>210</v>
      </c>
      <c r="B72" s="18" t="s">
        <v>211</v>
      </c>
      <c r="C72" s="14" t="s">
        <v>212</v>
      </c>
      <c r="D72" s="15" t="s">
        <v>8</v>
      </c>
      <c r="E72" s="16">
        <v>69</v>
      </c>
      <c r="F72" s="47">
        <f t="shared" si="79"/>
        <v>20401</v>
      </c>
      <c r="G72" s="47">
        <f t="shared" si="80"/>
        <v>20700</v>
      </c>
      <c r="H72" s="50">
        <f t="shared" si="81"/>
        <v>174001</v>
      </c>
      <c r="I72" s="50">
        <f t="shared" si="74"/>
        <v>175500</v>
      </c>
      <c r="J72" s="50">
        <f t="shared" si="82"/>
        <v>102001</v>
      </c>
      <c r="K72" s="50">
        <f t="shared" ref="K72" si="88">J72+1500-1</f>
        <v>103500</v>
      </c>
      <c r="L72" s="50">
        <f t="shared" si="84"/>
        <v>840001</v>
      </c>
      <c r="M72" s="50">
        <f t="shared" si="76"/>
        <v>846000</v>
      </c>
      <c r="N72" s="50">
        <f t="shared" si="85"/>
        <v>3198001</v>
      </c>
      <c r="O72" s="50">
        <f t="shared" si="77"/>
        <v>3217500</v>
      </c>
      <c r="P72" s="52">
        <f t="shared" si="86"/>
        <v>10326001</v>
      </c>
      <c r="Q72" s="52">
        <f t="shared" si="78"/>
        <v>10381500</v>
      </c>
    </row>
    <row r="73" spans="1:17" s="3" customFormat="1" ht="30" customHeight="1">
      <c r="A73" s="12" t="s">
        <v>213</v>
      </c>
      <c r="B73" s="18" t="s">
        <v>214</v>
      </c>
      <c r="C73" s="14" t="s">
        <v>215</v>
      </c>
      <c r="D73" s="15" t="s">
        <v>8</v>
      </c>
      <c r="E73" s="16">
        <v>70</v>
      </c>
      <c r="F73" s="47">
        <f t="shared" si="79"/>
        <v>20701</v>
      </c>
      <c r="G73" s="47">
        <f t="shared" si="80"/>
        <v>21000</v>
      </c>
      <c r="H73" s="50">
        <f t="shared" si="81"/>
        <v>175501</v>
      </c>
      <c r="I73" s="50">
        <f t="shared" si="74"/>
        <v>177000</v>
      </c>
      <c r="J73" s="50">
        <f t="shared" si="82"/>
        <v>103501</v>
      </c>
      <c r="K73" s="50">
        <f t="shared" ref="K73" si="89">J73+1500-1</f>
        <v>105000</v>
      </c>
      <c r="L73" s="50">
        <f t="shared" si="84"/>
        <v>846001</v>
      </c>
      <c r="M73" s="50">
        <f t="shared" si="76"/>
        <v>852000</v>
      </c>
      <c r="N73" s="50">
        <f t="shared" si="85"/>
        <v>3217501</v>
      </c>
      <c r="O73" s="50">
        <f t="shared" si="77"/>
        <v>3237000</v>
      </c>
      <c r="P73" s="52">
        <f t="shared" si="86"/>
        <v>10381501</v>
      </c>
      <c r="Q73" s="52">
        <f t="shared" si="78"/>
        <v>10437000</v>
      </c>
    </row>
    <row r="74" spans="1:17" s="3" customFormat="1" ht="30" customHeight="1">
      <c r="A74" s="17" t="s">
        <v>216</v>
      </c>
      <c r="B74" s="18" t="s">
        <v>217</v>
      </c>
      <c r="C74" s="14" t="s">
        <v>218</v>
      </c>
      <c r="D74" s="15" t="s">
        <v>8</v>
      </c>
      <c r="E74" s="16">
        <v>71</v>
      </c>
      <c r="F74" s="47">
        <f t="shared" si="79"/>
        <v>21001</v>
      </c>
      <c r="G74" s="47">
        <f t="shared" si="80"/>
        <v>21300</v>
      </c>
      <c r="H74" s="50">
        <f t="shared" si="81"/>
        <v>177001</v>
      </c>
      <c r="I74" s="50">
        <f t="shared" si="74"/>
        <v>178500</v>
      </c>
      <c r="J74" s="50">
        <f t="shared" si="82"/>
        <v>105001</v>
      </c>
      <c r="K74" s="50">
        <f t="shared" ref="K74" si="90">J74+1500-1</f>
        <v>106500</v>
      </c>
      <c r="L74" s="50">
        <f t="shared" si="84"/>
        <v>852001</v>
      </c>
      <c r="M74" s="50">
        <f t="shared" si="76"/>
        <v>858000</v>
      </c>
      <c r="N74" s="50">
        <f t="shared" si="85"/>
        <v>3237001</v>
      </c>
      <c r="O74" s="50">
        <f t="shared" si="77"/>
        <v>3256500</v>
      </c>
      <c r="P74" s="52">
        <f t="shared" si="86"/>
        <v>10437001</v>
      </c>
      <c r="Q74" s="52">
        <f t="shared" si="78"/>
        <v>10492500</v>
      </c>
    </row>
    <row r="75" spans="1:17" s="3" customFormat="1" ht="30" customHeight="1">
      <c r="A75" s="17" t="s">
        <v>219</v>
      </c>
      <c r="B75" s="18" t="s">
        <v>220</v>
      </c>
      <c r="C75" s="14" t="s">
        <v>221</v>
      </c>
      <c r="D75" s="15" t="s">
        <v>8</v>
      </c>
      <c r="E75" s="16">
        <v>72</v>
      </c>
      <c r="F75" s="47">
        <f t="shared" si="79"/>
        <v>21301</v>
      </c>
      <c r="G75" s="47">
        <f t="shared" si="80"/>
        <v>21600</v>
      </c>
      <c r="H75" s="50">
        <f t="shared" si="81"/>
        <v>178501</v>
      </c>
      <c r="I75" s="50">
        <f t="shared" si="74"/>
        <v>180000</v>
      </c>
      <c r="J75" s="50">
        <f t="shared" si="82"/>
        <v>106501</v>
      </c>
      <c r="K75" s="50">
        <f t="shared" ref="K75" si="91">J75+1500-1</f>
        <v>108000</v>
      </c>
      <c r="L75" s="50">
        <f t="shared" si="84"/>
        <v>858001</v>
      </c>
      <c r="M75" s="50">
        <f t="shared" si="76"/>
        <v>864000</v>
      </c>
      <c r="N75" s="50">
        <f t="shared" si="85"/>
        <v>3256501</v>
      </c>
      <c r="O75" s="50">
        <f t="shared" si="77"/>
        <v>3276000</v>
      </c>
      <c r="P75" s="52">
        <f t="shared" si="86"/>
        <v>10492501</v>
      </c>
      <c r="Q75" s="52">
        <f t="shared" si="78"/>
        <v>10548000</v>
      </c>
    </row>
    <row r="76" spans="1:17" s="3" customFormat="1" ht="30" customHeight="1">
      <c r="A76" s="17" t="s">
        <v>222</v>
      </c>
      <c r="B76" s="18" t="s">
        <v>223</v>
      </c>
      <c r="C76" s="14" t="s">
        <v>224</v>
      </c>
      <c r="D76" s="15" t="s">
        <v>8</v>
      </c>
      <c r="E76" s="16">
        <v>73</v>
      </c>
      <c r="F76" s="47">
        <f t="shared" si="79"/>
        <v>21601</v>
      </c>
      <c r="G76" s="47">
        <f t="shared" si="80"/>
        <v>21900</v>
      </c>
      <c r="H76" s="50">
        <f t="shared" si="81"/>
        <v>180001</v>
      </c>
      <c r="I76" s="50">
        <f t="shared" si="74"/>
        <v>181500</v>
      </c>
      <c r="J76" s="50">
        <f t="shared" si="82"/>
        <v>108001</v>
      </c>
      <c r="K76" s="50">
        <f t="shared" ref="K76" si="92">J76+1500-1</f>
        <v>109500</v>
      </c>
      <c r="L76" s="50">
        <f t="shared" si="84"/>
        <v>864001</v>
      </c>
      <c r="M76" s="50">
        <f t="shared" si="76"/>
        <v>870000</v>
      </c>
      <c r="N76" s="50">
        <f t="shared" si="85"/>
        <v>3276001</v>
      </c>
      <c r="O76" s="50">
        <f t="shared" si="77"/>
        <v>3295500</v>
      </c>
      <c r="P76" s="47">
        <f t="shared" si="86"/>
        <v>10548001</v>
      </c>
      <c r="Q76" s="47">
        <f t="shared" si="78"/>
        <v>10603500</v>
      </c>
    </row>
    <row r="77" spans="1:17" s="3" customFormat="1" ht="30" customHeight="1">
      <c r="A77" s="17" t="s">
        <v>225</v>
      </c>
      <c r="B77" s="18" t="s">
        <v>226</v>
      </c>
      <c r="C77" s="14" t="s">
        <v>227</v>
      </c>
      <c r="D77" s="15" t="s">
        <v>8</v>
      </c>
      <c r="E77" s="16">
        <v>74</v>
      </c>
      <c r="F77" s="47">
        <f t="shared" si="79"/>
        <v>21901</v>
      </c>
      <c r="G77" s="47">
        <f t="shared" si="80"/>
        <v>22200</v>
      </c>
      <c r="H77" s="50">
        <f t="shared" si="81"/>
        <v>181501</v>
      </c>
      <c r="I77" s="50">
        <f t="shared" si="74"/>
        <v>183000</v>
      </c>
      <c r="J77" s="50">
        <f t="shared" si="82"/>
        <v>109501</v>
      </c>
      <c r="K77" s="50">
        <f t="shared" ref="K77" si="93">J77+1500-1</f>
        <v>111000</v>
      </c>
      <c r="L77" s="50">
        <f t="shared" si="84"/>
        <v>870001</v>
      </c>
      <c r="M77" s="50">
        <f t="shared" si="76"/>
        <v>876000</v>
      </c>
      <c r="N77" s="50">
        <f t="shared" si="85"/>
        <v>3295501</v>
      </c>
      <c r="O77" s="50">
        <f t="shared" si="77"/>
        <v>3315000</v>
      </c>
      <c r="P77" s="47">
        <f t="shared" si="86"/>
        <v>10603501</v>
      </c>
      <c r="Q77" s="47">
        <f t="shared" si="78"/>
        <v>10659000</v>
      </c>
    </row>
    <row r="78" spans="1:17" s="3" customFormat="1" ht="30" customHeight="1">
      <c r="A78" s="12" t="s">
        <v>228</v>
      </c>
      <c r="B78" s="18" t="s">
        <v>229</v>
      </c>
      <c r="C78" s="14" t="s">
        <v>230</v>
      </c>
      <c r="D78" s="15" t="s">
        <v>8</v>
      </c>
      <c r="E78" s="16">
        <v>75</v>
      </c>
      <c r="F78" s="47">
        <f t="shared" si="79"/>
        <v>22201</v>
      </c>
      <c r="G78" s="47">
        <f t="shared" si="80"/>
        <v>22500</v>
      </c>
      <c r="H78" s="50">
        <f t="shared" si="81"/>
        <v>183001</v>
      </c>
      <c r="I78" s="50">
        <f t="shared" si="74"/>
        <v>184500</v>
      </c>
      <c r="J78" s="50">
        <f t="shared" si="82"/>
        <v>111001</v>
      </c>
      <c r="K78" s="50">
        <f t="shared" ref="K78" si="94">J78+1500-1</f>
        <v>112500</v>
      </c>
      <c r="L78" s="50">
        <f t="shared" si="84"/>
        <v>876001</v>
      </c>
      <c r="M78" s="50">
        <f t="shared" si="76"/>
        <v>882000</v>
      </c>
      <c r="N78" s="50">
        <f t="shared" si="85"/>
        <v>3315001</v>
      </c>
      <c r="O78" s="50">
        <f t="shared" si="77"/>
        <v>3334500</v>
      </c>
      <c r="P78" s="47">
        <f t="shared" si="86"/>
        <v>10659001</v>
      </c>
      <c r="Q78" s="47">
        <f t="shared" si="78"/>
        <v>10714500</v>
      </c>
    </row>
    <row r="79" spans="1:17" s="3" customFormat="1" ht="30" customHeight="1">
      <c r="A79" s="12" t="s">
        <v>231</v>
      </c>
      <c r="B79" s="18" t="s">
        <v>232</v>
      </c>
      <c r="C79" s="14" t="s">
        <v>233</v>
      </c>
      <c r="D79" s="15" t="s">
        <v>8</v>
      </c>
      <c r="E79" s="16">
        <v>76</v>
      </c>
      <c r="F79" s="47">
        <f t="shared" si="79"/>
        <v>22501</v>
      </c>
      <c r="G79" s="47">
        <f t="shared" si="80"/>
        <v>22800</v>
      </c>
      <c r="H79" s="50">
        <f t="shared" si="81"/>
        <v>184501</v>
      </c>
      <c r="I79" s="50">
        <f t="shared" si="74"/>
        <v>186000</v>
      </c>
      <c r="J79" s="50">
        <f t="shared" si="82"/>
        <v>112501</v>
      </c>
      <c r="K79" s="50">
        <f t="shared" ref="K79" si="95">J79+1500-1</f>
        <v>114000</v>
      </c>
      <c r="L79" s="50">
        <f t="shared" si="84"/>
        <v>882001</v>
      </c>
      <c r="M79" s="50">
        <f t="shared" si="76"/>
        <v>888000</v>
      </c>
      <c r="N79" s="50">
        <f t="shared" si="85"/>
        <v>3334501</v>
      </c>
      <c r="O79" s="50">
        <f t="shared" si="77"/>
        <v>3354000</v>
      </c>
      <c r="P79" s="47">
        <f t="shared" si="86"/>
        <v>10714501</v>
      </c>
      <c r="Q79" s="47">
        <f t="shared" si="78"/>
        <v>10770000</v>
      </c>
    </row>
    <row r="80" spans="1:17" s="3" customFormat="1" ht="30" customHeight="1">
      <c r="A80" s="12" t="s">
        <v>234</v>
      </c>
      <c r="B80" s="18" t="s">
        <v>235</v>
      </c>
      <c r="C80" s="14" t="s">
        <v>236</v>
      </c>
      <c r="D80" s="15" t="s">
        <v>8</v>
      </c>
      <c r="E80" s="16">
        <v>77</v>
      </c>
      <c r="F80" s="47">
        <f t="shared" si="79"/>
        <v>22801</v>
      </c>
      <c r="G80" s="47">
        <f t="shared" si="80"/>
        <v>23100</v>
      </c>
      <c r="H80" s="50">
        <f t="shared" si="81"/>
        <v>186001</v>
      </c>
      <c r="I80" s="50">
        <f t="shared" si="74"/>
        <v>187500</v>
      </c>
      <c r="J80" s="50">
        <f t="shared" si="82"/>
        <v>114001</v>
      </c>
      <c r="K80" s="50">
        <f t="shared" ref="K80" si="96">J80+1500-1</f>
        <v>115500</v>
      </c>
      <c r="L80" s="50">
        <f t="shared" si="84"/>
        <v>888001</v>
      </c>
      <c r="M80" s="50">
        <f t="shared" si="76"/>
        <v>894000</v>
      </c>
      <c r="N80" s="50">
        <f t="shared" si="85"/>
        <v>3354001</v>
      </c>
      <c r="O80" s="50">
        <f t="shared" si="77"/>
        <v>3373500</v>
      </c>
      <c r="P80" s="47">
        <f t="shared" si="86"/>
        <v>10770001</v>
      </c>
      <c r="Q80" s="47">
        <f t="shared" si="78"/>
        <v>10825500</v>
      </c>
    </row>
    <row r="81" spans="1:17" s="3" customFormat="1" ht="30" customHeight="1">
      <c r="A81" s="12" t="s">
        <v>237</v>
      </c>
      <c r="B81" s="18" t="s">
        <v>238</v>
      </c>
      <c r="C81" s="14" t="s">
        <v>239</v>
      </c>
      <c r="D81" s="15" t="s">
        <v>8</v>
      </c>
      <c r="E81" s="16">
        <v>78</v>
      </c>
      <c r="F81" s="47">
        <f t="shared" si="79"/>
        <v>23101</v>
      </c>
      <c r="G81" s="47">
        <f t="shared" si="80"/>
        <v>23400</v>
      </c>
      <c r="H81" s="50">
        <f t="shared" si="81"/>
        <v>187501</v>
      </c>
      <c r="I81" s="50">
        <f t="shared" si="74"/>
        <v>189000</v>
      </c>
      <c r="J81" s="50">
        <f t="shared" si="82"/>
        <v>115501</v>
      </c>
      <c r="K81" s="50">
        <f t="shared" ref="K81" si="97">J81+1500-1</f>
        <v>117000</v>
      </c>
      <c r="L81" s="50">
        <f t="shared" si="84"/>
        <v>894001</v>
      </c>
      <c r="M81" s="50">
        <f t="shared" si="76"/>
        <v>900000</v>
      </c>
      <c r="N81" s="50">
        <f t="shared" si="85"/>
        <v>3373501</v>
      </c>
      <c r="O81" s="50">
        <f t="shared" si="77"/>
        <v>3393000</v>
      </c>
      <c r="P81" s="47">
        <f t="shared" si="86"/>
        <v>10825501</v>
      </c>
      <c r="Q81" s="47">
        <f t="shared" si="78"/>
        <v>10881000</v>
      </c>
    </row>
    <row r="82" spans="1:17" s="3" customFormat="1" ht="30" customHeight="1">
      <c r="A82" s="17" t="s">
        <v>240</v>
      </c>
      <c r="B82" s="18" t="s">
        <v>241</v>
      </c>
      <c r="C82" s="14" t="s">
        <v>242</v>
      </c>
      <c r="D82" s="15" t="s">
        <v>8</v>
      </c>
      <c r="E82" s="16">
        <v>79</v>
      </c>
      <c r="F82" s="47">
        <f t="shared" si="79"/>
        <v>23401</v>
      </c>
      <c r="G82" s="47">
        <f t="shared" si="80"/>
        <v>23700</v>
      </c>
      <c r="H82" s="50">
        <f t="shared" si="81"/>
        <v>189001</v>
      </c>
      <c r="I82" s="50">
        <f t="shared" si="74"/>
        <v>190500</v>
      </c>
      <c r="J82" s="50">
        <f t="shared" si="82"/>
        <v>117001</v>
      </c>
      <c r="K82" s="50">
        <f t="shared" ref="K82" si="98">J82+1500-1</f>
        <v>118500</v>
      </c>
      <c r="L82" s="50">
        <f t="shared" si="84"/>
        <v>900001</v>
      </c>
      <c r="M82" s="50">
        <f t="shared" si="76"/>
        <v>906000</v>
      </c>
      <c r="N82" s="50">
        <f t="shared" si="85"/>
        <v>3393001</v>
      </c>
      <c r="O82" s="50">
        <f t="shared" si="77"/>
        <v>3412500</v>
      </c>
      <c r="P82" s="47">
        <f t="shared" si="86"/>
        <v>10881001</v>
      </c>
      <c r="Q82" s="47">
        <f t="shared" si="78"/>
        <v>10936500</v>
      </c>
    </row>
    <row r="83" spans="1:17" s="3" customFormat="1" ht="30" customHeight="1">
      <c r="A83" s="17" t="s">
        <v>243</v>
      </c>
      <c r="B83" s="18" t="s">
        <v>244</v>
      </c>
      <c r="C83" s="14" t="s">
        <v>245</v>
      </c>
      <c r="D83" s="15" t="s">
        <v>8</v>
      </c>
      <c r="E83" s="16">
        <v>80</v>
      </c>
      <c r="F83" s="47">
        <f t="shared" si="79"/>
        <v>23701</v>
      </c>
      <c r="G83" s="47">
        <f t="shared" si="80"/>
        <v>24000</v>
      </c>
      <c r="H83" s="50">
        <f t="shared" si="81"/>
        <v>190501</v>
      </c>
      <c r="I83" s="50">
        <f t="shared" si="74"/>
        <v>192000</v>
      </c>
      <c r="J83" s="50">
        <f t="shared" si="82"/>
        <v>118501</v>
      </c>
      <c r="K83" s="65">
        <f t="shared" ref="K83" si="99">J83+1500-1</f>
        <v>120000</v>
      </c>
      <c r="L83" s="50">
        <f t="shared" si="84"/>
        <v>906001</v>
      </c>
      <c r="M83" s="50">
        <f t="shared" si="76"/>
        <v>912000</v>
      </c>
      <c r="N83" s="50">
        <f t="shared" si="85"/>
        <v>3412501</v>
      </c>
      <c r="O83" s="50">
        <f t="shared" si="77"/>
        <v>3432000</v>
      </c>
      <c r="P83" s="47">
        <f t="shared" si="86"/>
        <v>10936501</v>
      </c>
      <c r="Q83" s="47">
        <f t="shared" si="78"/>
        <v>10992000</v>
      </c>
    </row>
    <row r="84" spans="1:17" s="3" customFormat="1" ht="30" customHeight="1">
      <c r="A84" s="17" t="s">
        <v>246</v>
      </c>
      <c r="B84" s="18" t="s">
        <v>247</v>
      </c>
      <c r="C84" s="14" t="s">
        <v>248</v>
      </c>
      <c r="D84" s="15" t="s">
        <v>8</v>
      </c>
      <c r="E84" s="16">
        <v>81</v>
      </c>
      <c r="F84" s="47">
        <f t="shared" si="79"/>
        <v>24001</v>
      </c>
      <c r="G84" s="47">
        <f t="shared" si="80"/>
        <v>24300</v>
      </c>
      <c r="H84" s="50">
        <f t="shared" si="81"/>
        <v>192001</v>
      </c>
      <c r="I84" s="50">
        <f t="shared" si="74"/>
        <v>193500</v>
      </c>
      <c r="J84" s="65">
        <f t="shared" si="82"/>
        <v>120001</v>
      </c>
      <c r="K84" s="50">
        <f t="shared" ref="K84" si="100">J84+1500-1</f>
        <v>121500</v>
      </c>
      <c r="L84" s="50">
        <f t="shared" si="84"/>
        <v>912001</v>
      </c>
      <c r="M84" s="50">
        <f t="shared" si="76"/>
        <v>918000</v>
      </c>
      <c r="N84" s="51">
        <f t="shared" si="85"/>
        <v>3432001</v>
      </c>
      <c r="O84" s="51">
        <f t="shared" si="77"/>
        <v>3451500</v>
      </c>
      <c r="P84" s="52">
        <f t="shared" si="86"/>
        <v>10992001</v>
      </c>
      <c r="Q84" s="52">
        <f t="shared" si="78"/>
        <v>11047500</v>
      </c>
    </row>
    <row r="85" spans="1:17" s="3" customFormat="1" ht="30" customHeight="1">
      <c r="A85" s="17" t="s">
        <v>249</v>
      </c>
      <c r="B85" s="18" t="s">
        <v>250</v>
      </c>
      <c r="C85" s="14" t="s">
        <v>251</v>
      </c>
      <c r="D85" s="15" t="s">
        <v>8</v>
      </c>
      <c r="E85" s="16">
        <v>82</v>
      </c>
      <c r="F85" s="47">
        <f t="shared" si="79"/>
        <v>24301</v>
      </c>
      <c r="G85" s="47">
        <f t="shared" si="80"/>
        <v>24600</v>
      </c>
      <c r="H85" s="50">
        <f t="shared" si="81"/>
        <v>193501</v>
      </c>
      <c r="I85" s="50">
        <f t="shared" si="74"/>
        <v>195000</v>
      </c>
      <c r="J85" s="50">
        <f t="shared" si="82"/>
        <v>121501</v>
      </c>
      <c r="K85" s="50">
        <f t="shared" ref="K85" si="101">J85+1500-1</f>
        <v>123000</v>
      </c>
      <c r="L85" s="50">
        <f t="shared" si="84"/>
        <v>918001</v>
      </c>
      <c r="M85" s="50">
        <f t="shared" si="76"/>
        <v>924000</v>
      </c>
      <c r="N85" s="51">
        <f t="shared" si="85"/>
        <v>3451501</v>
      </c>
      <c r="O85" s="51">
        <f t="shared" si="77"/>
        <v>3471000</v>
      </c>
      <c r="P85" s="52">
        <f t="shared" si="86"/>
        <v>11047501</v>
      </c>
      <c r="Q85" s="52">
        <f t="shared" si="78"/>
        <v>11103000</v>
      </c>
    </row>
    <row r="86" spans="1:17" s="3" customFormat="1" ht="30" customHeight="1">
      <c r="A86" s="12" t="s">
        <v>252</v>
      </c>
      <c r="B86" s="18" t="s">
        <v>253</v>
      </c>
      <c r="C86" s="14" t="s">
        <v>254</v>
      </c>
      <c r="D86" s="15" t="s">
        <v>8</v>
      </c>
      <c r="E86" s="16">
        <v>83</v>
      </c>
      <c r="F86" s="47">
        <f t="shared" si="79"/>
        <v>24601</v>
      </c>
      <c r="G86" s="47">
        <f t="shared" si="80"/>
        <v>24900</v>
      </c>
      <c r="H86" s="50">
        <f t="shared" si="81"/>
        <v>195001</v>
      </c>
      <c r="I86" s="50">
        <f t="shared" si="74"/>
        <v>196500</v>
      </c>
      <c r="J86" s="50">
        <f t="shared" si="82"/>
        <v>123001</v>
      </c>
      <c r="K86" s="50">
        <f t="shared" ref="K86" si="102">J86+1500-1</f>
        <v>124500</v>
      </c>
      <c r="L86" s="50">
        <f t="shared" si="84"/>
        <v>924001</v>
      </c>
      <c r="M86" s="50">
        <f t="shared" si="76"/>
        <v>930000</v>
      </c>
      <c r="N86" s="51">
        <f t="shared" si="85"/>
        <v>3471001</v>
      </c>
      <c r="O86" s="51">
        <f t="shared" si="77"/>
        <v>3490500</v>
      </c>
      <c r="P86" s="52">
        <f t="shared" si="86"/>
        <v>11103001</v>
      </c>
      <c r="Q86" s="52">
        <f t="shared" si="78"/>
        <v>11158500</v>
      </c>
    </row>
    <row r="87" spans="1:17" s="3" customFormat="1" ht="30" customHeight="1">
      <c r="A87" s="12" t="s">
        <v>255</v>
      </c>
      <c r="B87" s="18" t="s">
        <v>256</v>
      </c>
      <c r="C87" s="14" t="s">
        <v>257</v>
      </c>
      <c r="D87" s="15" t="s">
        <v>8</v>
      </c>
      <c r="E87" s="16">
        <v>84</v>
      </c>
      <c r="F87" s="47">
        <f t="shared" si="79"/>
        <v>24901</v>
      </c>
      <c r="G87" s="47">
        <f t="shared" si="80"/>
        <v>25200</v>
      </c>
      <c r="H87" s="50">
        <f t="shared" si="81"/>
        <v>196501</v>
      </c>
      <c r="I87" s="50">
        <f t="shared" si="74"/>
        <v>198000</v>
      </c>
      <c r="J87" s="50">
        <f t="shared" si="82"/>
        <v>124501</v>
      </c>
      <c r="K87" s="50">
        <f t="shared" ref="K87" si="103">J87+1500-1</f>
        <v>126000</v>
      </c>
      <c r="L87" s="50">
        <f t="shared" si="84"/>
        <v>930001</v>
      </c>
      <c r="M87" s="50">
        <f t="shared" si="76"/>
        <v>936000</v>
      </c>
      <c r="N87" s="51">
        <f t="shared" si="85"/>
        <v>3490501</v>
      </c>
      <c r="O87" s="51">
        <f t="shared" si="77"/>
        <v>3510000</v>
      </c>
      <c r="P87" s="52">
        <f t="shared" si="86"/>
        <v>11158501</v>
      </c>
      <c r="Q87" s="52">
        <f t="shared" si="78"/>
        <v>11214000</v>
      </c>
    </row>
    <row r="88" spans="1:17" s="3" customFormat="1" ht="30" customHeight="1">
      <c r="A88" s="12" t="s">
        <v>258</v>
      </c>
      <c r="B88" s="18" t="s">
        <v>259</v>
      </c>
      <c r="C88" s="14" t="s">
        <v>260</v>
      </c>
      <c r="D88" s="15" t="s">
        <v>8</v>
      </c>
      <c r="E88" s="16">
        <v>85</v>
      </c>
      <c r="F88" s="47">
        <f t="shared" si="79"/>
        <v>25201</v>
      </c>
      <c r="G88" s="47">
        <f t="shared" si="80"/>
        <v>25500</v>
      </c>
      <c r="H88" s="50">
        <f t="shared" si="81"/>
        <v>198001</v>
      </c>
      <c r="I88" s="50">
        <f t="shared" si="74"/>
        <v>199500</v>
      </c>
      <c r="J88" s="50">
        <f t="shared" si="82"/>
        <v>126001</v>
      </c>
      <c r="K88" s="50">
        <f t="shared" ref="K88" si="104">J88+1500-1</f>
        <v>127500</v>
      </c>
      <c r="L88" s="50">
        <f t="shared" si="84"/>
        <v>936001</v>
      </c>
      <c r="M88" s="50">
        <f t="shared" si="76"/>
        <v>942000</v>
      </c>
      <c r="N88" s="51">
        <f t="shared" si="85"/>
        <v>3510001</v>
      </c>
      <c r="O88" s="51">
        <f t="shared" si="77"/>
        <v>3529500</v>
      </c>
      <c r="P88" s="52">
        <f t="shared" si="86"/>
        <v>11214001</v>
      </c>
      <c r="Q88" s="52">
        <f t="shared" si="78"/>
        <v>11269500</v>
      </c>
    </row>
    <row r="89" spans="1:17" s="3" customFormat="1" ht="30" customHeight="1">
      <c r="A89" s="12" t="s">
        <v>261</v>
      </c>
      <c r="B89" s="18" t="s">
        <v>262</v>
      </c>
      <c r="C89" s="14" t="s">
        <v>263</v>
      </c>
      <c r="D89" s="15" t="s">
        <v>8</v>
      </c>
      <c r="E89" s="16">
        <v>86</v>
      </c>
      <c r="F89" s="47">
        <f t="shared" si="79"/>
        <v>25501</v>
      </c>
      <c r="G89" s="47">
        <f t="shared" si="80"/>
        <v>25800</v>
      </c>
      <c r="H89" s="50">
        <f t="shared" si="81"/>
        <v>199501</v>
      </c>
      <c r="I89" s="50">
        <f t="shared" si="74"/>
        <v>201000</v>
      </c>
      <c r="J89" s="50">
        <f t="shared" si="82"/>
        <v>127501</v>
      </c>
      <c r="K89" s="50">
        <f t="shared" ref="K89" si="105">J89+1500-1</f>
        <v>129000</v>
      </c>
      <c r="L89" s="50">
        <f t="shared" si="84"/>
        <v>942001</v>
      </c>
      <c r="M89" s="50">
        <f t="shared" si="76"/>
        <v>948000</v>
      </c>
      <c r="N89" s="51">
        <f t="shared" si="85"/>
        <v>3529501</v>
      </c>
      <c r="O89" s="51">
        <f t="shared" si="77"/>
        <v>3549000</v>
      </c>
      <c r="P89" s="52">
        <f t="shared" si="86"/>
        <v>11269501</v>
      </c>
      <c r="Q89" s="52">
        <f t="shared" si="78"/>
        <v>11325000</v>
      </c>
    </row>
    <row r="90" spans="1:17" s="3" customFormat="1" ht="30" customHeight="1">
      <c r="A90" s="17" t="s">
        <v>264</v>
      </c>
      <c r="B90" s="18" t="s">
        <v>265</v>
      </c>
      <c r="C90" s="14" t="s">
        <v>266</v>
      </c>
      <c r="D90" s="15" t="s">
        <v>8</v>
      </c>
      <c r="E90" s="16">
        <v>87</v>
      </c>
      <c r="F90" s="47">
        <f t="shared" si="79"/>
        <v>25801</v>
      </c>
      <c r="G90" s="47">
        <f t="shared" si="80"/>
        <v>26100</v>
      </c>
      <c r="H90" s="50">
        <f t="shared" si="81"/>
        <v>201001</v>
      </c>
      <c r="I90" s="50">
        <f t="shared" si="74"/>
        <v>202500</v>
      </c>
      <c r="J90" s="50">
        <f t="shared" si="82"/>
        <v>129001</v>
      </c>
      <c r="K90" s="50">
        <f t="shared" ref="K90" si="106">J90+1500-1</f>
        <v>130500</v>
      </c>
      <c r="L90" s="50">
        <f t="shared" si="84"/>
        <v>948001</v>
      </c>
      <c r="M90" s="50">
        <f t="shared" si="76"/>
        <v>954000</v>
      </c>
      <c r="N90" s="51">
        <f t="shared" si="85"/>
        <v>3549001</v>
      </c>
      <c r="O90" s="51">
        <f t="shared" si="77"/>
        <v>3568500</v>
      </c>
      <c r="P90" s="52">
        <f t="shared" si="86"/>
        <v>11325001</v>
      </c>
      <c r="Q90" s="52">
        <f t="shared" si="78"/>
        <v>11380500</v>
      </c>
    </row>
    <row r="91" spans="1:17" s="3" customFormat="1" ht="30" customHeight="1">
      <c r="A91" s="17" t="s">
        <v>267</v>
      </c>
      <c r="B91" s="18" t="s">
        <v>268</v>
      </c>
      <c r="C91" s="14" t="s">
        <v>269</v>
      </c>
      <c r="D91" s="15" t="s">
        <v>8</v>
      </c>
      <c r="E91" s="16">
        <v>88</v>
      </c>
      <c r="F91" s="47">
        <f t="shared" si="79"/>
        <v>26101</v>
      </c>
      <c r="G91" s="47">
        <f t="shared" si="80"/>
        <v>26400</v>
      </c>
      <c r="H91" s="50">
        <f t="shared" si="81"/>
        <v>202501</v>
      </c>
      <c r="I91" s="50">
        <f t="shared" si="74"/>
        <v>204000</v>
      </c>
      <c r="J91" s="50">
        <f t="shared" si="82"/>
        <v>130501</v>
      </c>
      <c r="K91" s="50">
        <f t="shared" ref="K91" si="107">J91+1500-1</f>
        <v>132000</v>
      </c>
      <c r="L91" s="50">
        <f t="shared" si="84"/>
        <v>954001</v>
      </c>
      <c r="M91" s="50">
        <f t="shared" si="76"/>
        <v>960000</v>
      </c>
      <c r="N91" s="51">
        <f t="shared" si="85"/>
        <v>3568501</v>
      </c>
      <c r="O91" s="51">
        <f t="shared" si="77"/>
        <v>3588000</v>
      </c>
      <c r="P91" s="52">
        <f t="shared" si="86"/>
        <v>11380501</v>
      </c>
      <c r="Q91" s="52">
        <f t="shared" si="78"/>
        <v>11436000</v>
      </c>
    </row>
    <row r="92" spans="1:17" s="3" customFormat="1" ht="30" customHeight="1">
      <c r="A92" s="17" t="s">
        <v>270</v>
      </c>
      <c r="B92" s="18" t="s">
        <v>271</v>
      </c>
      <c r="C92" s="14" t="s">
        <v>272</v>
      </c>
      <c r="D92" s="15" t="s">
        <v>8</v>
      </c>
      <c r="E92" s="16">
        <v>89</v>
      </c>
      <c r="F92" s="47">
        <f t="shared" si="79"/>
        <v>26401</v>
      </c>
      <c r="G92" s="47">
        <f t="shared" si="80"/>
        <v>26700</v>
      </c>
      <c r="H92" s="50">
        <f t="shared" si="81"/>
        <v>204001</v>
      </c>
      <c r="I92" s="50">
        <f t="shared" si="74"/>
        <v>205500</v>
      </c>
      <c r="J92" s="50">
        <f t="shared" si="82"/>
        <v>132001</v>
      </c>
      <c r="K92" s="50">
        <f t="shared" ref="K92" si="108">J92+1500-1</f>
        <v>133500</v>
      </c>
      <c r="L92" s="50">
        <f t="shared" si="84"/>
        <v>960001</v>
      </c>
      <c r="M92" s="50">
        <f t="shared" si="76"/>
        <v>966000</v>
      </c>
      <c r="N92" s="51">
        <f t="shared" si="85"/>
        <v>3588001</v>
      </c>
      <c r="O92" s="51">
        <f t="shared" si="77"/>
        <v>3607500</v>
      </c>
      <c r="P92" s="47">
        <f t="shared" si="86"/>
        <v>11436001</v>
      </c>
      <c r="Q92" s="47">
        <f t="shared" si="78"/>
        <v>11491500</v>
      </c>
    </row>
    <row r="93" spans="1:17" s="3" customFormat="1" ht="30" customHeight="1">
      <c r="A93" s="17" t="s">
        <v>273</v>
      </c>
      <c r="B93" s="18" t="s">
        <v>274</v>
      </c>
      <c r="C93" s="14" t="s">
        <v>275</v>
      </c>
      <c r="D93" s="15" t="s">
        <v>8</v>
      </c>
      <c r="E93" s="16">
        <v>90</v>
      </c>
      <c r="F93" s="47">
        <f t="shared" si="79"/>
        <v>26701</v>
      </c>
      <c r="G93" s="47">
        <f t="shared" si="80"/>
        <v>27000</v>
      </c>
      <c r="H93" s="50">
        <f t="shared" si="81"/>
        <v>205501</v>
      </c>
      <c r="I93" s="50">
        <f t="shared" si="74"/>
        <v>207000</v>
      </c>
      <c r="J93" s="50">
        <f t="shared" si="82"/>
        <v>133501</v>
      </c>
      <c r="K93" s="50">
        <f t="shared" ref="K93" si="109">J93+1500-1</f>
        <v>135000</v>
      </c>
      <c r="L93" s="50">
        <f t="shared" si="84"/>
        <v>966001</v>
      </c>
      <c r="M93" s="50">
        <f t="shared" si="76"/>
        <v>972000</v>
      </c>
      <c r="N93" s="51">
        <f t="shared" si="85"/>
        <v>3607501</v>
      </c>
      <c r="O93" s="51">
        <f t="shared" si="77"/>
        <v>3627000</v>
      </c>
      <c r="P93" s="47">
        <f t="shared" si="86"/>
        <v>11491501</v>
      </c>
      <c r="Q93" s="47">
        <f t="shared" si="78"/>
        <v>11547000</v>
      </c>
    </row>
    <row r="94" spans="1:17" s="3" customFormat="1" ht="30" customHeight="1">
      <c r="A94" s="12" t="s">
        <v>276</v>
      </c>
      <c r="B94" s="18" t="s">
        <v>277</v>
      </c>
      <c r="C94" s="14" t="s">
        <v>278</v>
      </c>
      <c r="D94" s="15" t="s">
        <v>8</v>
      </c>
      <c r="E94" s="16">
        <v>91</v>
      </c>
      <c r="F94" s="47">
        <f t="shared" si="79"/>
        <v>27001</v>
      </c>
      <c r="G94" s="47">
        <f t="shared" si="80"/>
        <v>27300</v>
      </c>
      <c r="H94" s="50">
        <f t="shared" si="81"/>
        <v>207001</v>
      </c>
      <c r="I94" s="50">
        <f t="shared" si="74"/>
        <v>208500</v>
      </c>
      <c r="J94" s="50">
        <f t="shared" si="82"/>
        <v>135001</v>
      </c>
      <c r="K94" s="50">
        <f t="shared" ref="K94" si="110">J94+1500-1</f>
        <v>136500</v>
      </c>
      <c r="L94" s="50">
        <f t="shared" si="84"/>
        <v>972001</v>
      </c>
      <c r="M94" s="50">
        <f t="shared" si="76"/>
        <v>978000</v>
      </c>
      <c r="N94" s="51">
        <f t="shared" si="85"/>
        <v>3627001</v>
      </c>
      <c r="O94" s="51">
        <f t="shared" si="77"/>
        <v>3646500</v>
      </c>
      <c r="P94" s="47">
        <f t="shared" si="86"/>
        <v>11547001</v>
      </c>
      <c r="Q94" s="47">
        <f t="shared" si="78"/>
        <v>11602500</v>
      </c>
    </row>
    <row r="95" spans="1:17" s="3" customFormat="1" ht="30" customHeight="1">
      <c r="A95" s="12" t="s">
        <v>279</v>
      </c>
      <c r="B95" s="18" t="s">
        <v>280</v>
      </c>
      <c r="C95" s="14" t="s">
        <v>281</v>
      </c>
      <c r="D95" s="15" t="s">
        <v>8</v>
      </c>
      <c r="E95" s="16">
        <v>92</v>
      </c>
      <c r="F95" s="47">
        <f t="shared" si="79"/>
        <v>27301</v>
      </c>
      <c r="G95" s="47">
        <f t="shared" si="80"/>
        <v>27600</v>
      </c>
      <c r="H95" s="50">
        <f t="shared" si="81"/>
        <v>208501</v>
      </c>
      <c r="I95" s="50">
        <f t="shared" si="74"/>
        <v>210000</v>
      </c>
      <c r="J95" s="50">
        <f t="shared" si="82"/>
        <v>136501</v>
      </c>
      <c r="K95" s="50">
        <f t="shared" ref="K95" si="111">J95+1500-1</f>
        <v>138000</v>
      </c>
      <c r="L95" s="50">
        <f t="shared" si="84"/>
        <v>978001</v>
      </c>
      <c r="M95" s="50">
        <f t="shared" si="76"/>
        <v>984000</v>
      </c>
      <c r="N95" s="51">
        <f t="shared" si="85"/>
        <v>3646501</v>
      </c>
      <c r="O95" s="51">
        <f t="shared" si="77"/>
        <v>3666000</v>
      </c>
      <c r="P95" s="47">
        <f t="shared" si="86"/>
        <v>11602501</v>
      </c>
      <c r="Q95" s="47">
        <f t="shared" si="78"/>
        <v>11658000</v>
      </c>
    </row>
    <row r="96" spans="1:17" s="3" customFormat="1" ht="30" customHeight="1">
      <c r="A96" s="12" t="s">
        <v>282</v>
      </c>
      <c r="B96" s="18" t="s">
        <v>283</v>
      </c>
      <c r="C96" s="14" t="s">
        <v>284</v>
      </c>
      <c r="D96" s="15" t="s">
        <v>8</v>
      </c>
      <c r="E96" s="16">
        <v>93</v>
      </c>
      <c r="F96" s="47">
        <f t="shared" si="79"/>
        <v>27601</v>
      </c>
      <c r="G96" s="47">
        <f t="shared" si="80"/>
        <v>27900</v>
      </c>
      <c r="H96" s="50">
        <f t="shared" si="81"/>
        <v>210001</v>
      </c>
      <c r="I96" s="50">
        <f t="shared" si="74"/>
        <v>211500</v>
      </c>
      <c r="J96" s="50">
        <f t="shared" si="82"/>
        <v>138001</v>
      </c>
      <c r="K96" s="50">
        <f t="shared" ref="K96" si="112">J96+1500-1</f>
        <v>139500</v>
      </c>
      <c r="L96" s="50">
        <f t="shared" si="84"/>
        <v>984001</v>
      </c>
      <c r="M96" s="50">
        <f t="shared" si="76"/>
        <v>990000</v>
      </c>
      <c r="N96" s="51">
        <f t="shared" si="85"/>
        <v>3666001</v>
      </c>
      <c r="O96" s="51">
        <f t="shared" si="77"/>
        <v>3685500</v>
      </c>
      <c r="P96" s="47">
        <f t="shared" si="86"/>
        <v>11658001</v>
      </c>
      <c r="Q96" s="47">
        <f t="shared" si="78"/>
        <v>11713500</v>
      </c>
    </row>
    <row r="97" spans="1:17" s="3" customFormat="1" ht="30" customHeight="1">
      <c r="A97" s="12" t="s">
        <v>285</v>
      </c>
      <c r="B97" s="18" t="s">
        <v>286</v>
      </c>
      <c r="C97" s="14" t="s">
        <v>287</v>
      </c>
      <c r="D97" s="15" t="s">
        <v>8</v>
      </c>
      <c r="E97" s="16">
        <v>94</v>
      </c>
      <c r="F97" s="47">
        <f t="shared" si="79"/>
        <v>27901</v>
      </c>
      <c r="G97" s="47">
        <f t="shared" si="80"/>
        <v>28200</v>
      </c>
      <c r="H97" s="50">
        <f t="shared" si="81"/>
        <v>211501</v>
      </c>
      <c r="I97" s="50">
        <f t="shared" si="74"/>
        <v>213000</v>
      </c>
      <c r="J97" s="50">
        <f t="shared" si="82"/>
        <v>139501</v>
      </c>
      <c r="K97" s="50">
        <f t="shared" ref="K97" si="113">J97+1500-1</f>
        <v>141000</v>
      </c>
      <c r="L97" s="50">
        <f t="shared" si="84"/>
        <v>990001</v>
      </c>
      <c r="M97" s="50">
        <f t="shared" si="76"/>
        <v>996000</v>
      </c>
      <c r="N97" s="51">
        <f t="shared" si="85"/>
        <v>3685501</v>
      </c>
      <c r="O97" s="51">
        <f t="shared" si="77"/>
        <v>3705000</v>
      </c>
      <c r="P97" s="47">
        <f t="shared" si="86"/>
        <v>11713501</v>
      </c>
      <c r="Q97" s="47">
        <f t="shared" si="78"/>
        <v>11769000</v>
      </c>
    </row>
    <row r="98" spans="1:17" s="3" customFormat="1" ht="30" customHeight="1">
      <c r="A98" s="17" t="s">
        <v>288</v>
      </c>
      <c r="B98" s="18" t="s">
        <v>289</v>
      </c>
      <c r="C98" s="14" t="s">
        <v>290</v>
      </c>
      <c r="D98" s="15" t="s">
        <v>8</v>
      </c>
      <c r="E98" s="16">
        <v>95</v>
      </c>
      <c r="F98" s="47">
        <f t="shared" si="79"/>
        <v>28201</v>
      </c>
      <c r="G98" s="47">
        <f t="shared" si="80"/>
        <v>28500</v>
      </c>
      <c r="H98" s="50">
        <f t="shared" si="81"/>
        <v>213001</v>
      </c>
      <c r="I98" s="50">
        <f t="shared" si="74"/>
        <v>214500</v>
      </c>
      <c r="J98" s="50">
        <f t="shared" si="82"/>
        <v>141001</v>
      </c>
      <c r="K98" s="50">
        <f t="shared" ref="K98" si="114">J98+1500-1</f>
        <v>142500</v>
      </c>
      <c r="L98" s="50">
        <f t="shared" si="84"/>
        <v>996001</v>
      </c>
      <c r="M98" s="50">
        <f t="shared" si="76"/>
        <v>1002000</v>
      </c>
      <c r="N98" s="51">
        <f t="shared" si="85"/>
        <v>3705001</v>
      </c>
      <c r="O98" s="51">
        <f t="shared" si="77"/>
        <v>3724500</v>
      </c>
      <c r="P98" s="47">
        <f t="shared" si="86"/>
        <v>11769001</v>
      </c>
      <c r="Q98" s="47">
        <f t="shared" si="78"/>
        <v>11824500</v>
      </c>
    </row>
    <row r="99" spans="1:17" s="3" customFormat="1" ht="30" customHeight="1">
      <c r="A99" s="17" t="s">
        <v>291</v>
      </c>
      <c r="B99" s="18" t="s">
        <v>292</v>
      </c>
      <c r="C99" s="14" t="s">
        <v>293</v>
      </c>
      <c r="D99" s="15" t="s">
        <v>8</v>
      </c>
      <c r="E99" s="16">
        <v>96</v>
      </c>
      <c r="F99" s="47">
        <f t="shared" si="79"/>
        <v>28501</v>
      </c>
      <c r="G99" s="47">
        <f t="shared" si="80"/>
        <v>28800</v>
      </c>
      <c r="H99" s="50">
        <f t="shared" si="81"/>
        <v>214501</v>
      </c>
      <c r="I99" s="50">
        <f t="shared" si="74"/>
        <v>216000</v>
      </c>
      <c r="J99" s="50">
        <f t="shared" si="82"/>
        <v>142501</v>
      </c>
      <c r="K99" s="66">
        <f t="shared" ref="K99" si="115">J99+1500-1</f>
        <v>144000</v>
      </c>
      <c r="L99" s="50">
        <f t="shared" si="84"/>
        <v>1002001</v>
      </c>
      <c r="M99" s="50">
        <f t="shared" si="76"/>
        <v>1008000</v>
      </c>
      <c r="N99" s="51">
        <f t="shared" si="85"/>
        <v>3724501</v>
      </c>
      <c r="O99" s="51">
        <f t="shared" si="77"/>
        <v>3744000</v>
      </c>
      <c r="P99" s="47">
        <f t="shared" si="86"/>
        <v>11824501</v>
      </c>
      <c r="Q99" s="47">
        <f t="shared" si="78"/>
        <v>11880000</v>
      </c>
    </row>
    <row r="100" spans="1:17" s="3" customFormat="1" ht="30" customHeight="1">
      <c r="A100" s="17" t="s">
        <v>294</v>
      </c>
      <c r="B100" s="18" t="s">
        <v>295</v>
      </c>
      <c r="C100" s="14" t="s">
        <v>296</v>
      </c>
      <c r="D100" s="15" t="s">
        <v>8</v>
      </c>
      <c r="E100" s="16">
        <v>97</v>
      </c>
      <c r="F100" s="47">
        <f t="shared" si="79"/>
        <v>28801</v>
      </c>
      <c r="G100" s="47">
        <f t="shared" si="80"/>
        <v>29100</v>
      </c>
      <c r="H100" s="50">
        <f t="shared" si="81"/>
        <v>216001</v>
      </c>
      <c r="I100" s="50">
        <f t="shared" si="74"/>
        <v>217500</v>
      </c>
      <c r="J100" s="66">
        <f t="shared" si="82"/>
        <v>144001</v>
      </c>
      <c r="K100" s="50">
        <f t="shared" ref="K100" si="116">J100+1500-1</f>
        <v>145500</v>
      </c>
      <c r="L100" s="49">
        <f t="shared" si="84"/>
        <v>1008001</v>
      </c>
      <c r="M100" s="49">
        <f t="shared" si="76"/>
        <v>1014000</v>
      </c>
      <c r="N100" s="51">
        <f t="shared" si="85"/>
        <v>3744001</v>
      </c>
      <c r="O100" s="51">
        <f t="shared" si="77"/>
        <v>3763500</v>
      </c>
      <c r="P100" s="52">
        <f t="shared" si="86"/>
        <v>11880001</v>
      </c>
      <c r="Q100" s="52">
        <f t="shared" si="78"/>
        <v>11935500</v>
      </c>
    </row>
    <row r="101" spans="1:17" s="3" customFormat="1" ht="30" customHeight="1">
      <c r="A101" s="17" t="s">
        <v>297</v>
      </c>
      <c r="B101" s="18" t="s">
        <v>298</v>
      </c>
      <c r="C101" s="14" t="s">
        <v>299</v>
      </c>
      <c r="D101" s="15" t="s">
        <v>8</v>
      </c>
      <c r="E101" s="16">
        <v>98</v>
      </c>
      <c r="F101" s="47">
        <f t="shared" si="79"/>
        <v>29101</v>
      </c>
      <c r="G101" s="47">
        <f t="shared" si="80"/>
        <v>29400</v>
      </c>
      <c r="H101" s="50">
        <f t="shared" si="81"/>
        <v>217501</v>
      </c>
      <c r="I101" s="50">
        <f t="shared" si="74"/>
        <v>219000</v>
      </c>
      <c r="J101" s="50">
        <f t="shared" si="82"/>
        <v>145501</v>
      </c>
      <c r="K101" s="50">
        <f t="shared" ref="K101" si="117">J101+1500-1</f>
        <v>147000</v>
      </c>
      <c r="L101" s="49">
        <f t="shared" si="84"/>
        <v>1014001</v>
      </c>
      <c r="M101" s="49">
        <f t="shared" si="76"/>
        <v>1020000</v>
      </c>
      <c r="N101" s="51">
        <f t="shared" si="85"/>
        <v>3763501</v>
      </c>
      <c r="O101" s="51">
        <f t="shared" si="77"/>
        <v>3783000</v>
      </c>
      <c r="P101" s="52">
        <f t="shared" si="86"/>
        <v>11935501</v>
      </c>
      <c r="Q101" s="52">
        <f t="shared" si="78"/>
        <v>11991000</v>
      </c>
    </row>
    <row r="102" spans="1:17" s="3" customFormat="1" ht="30" customHeight="1">
      <c r="A102" s="12" t="s">
        <v>300</v>
      </c>
      <c r="B102" s="18" t="s">
        <v>301</v>
      </c>
      <c r="C102" s="14" t="s">
        <v>302</v>
      </c>
      <c r="D102" s="15" t="s">
        <v>8</v>
      </c>
      <c r="E102" s="16">
        <v>99</v>
      </c>
      <c r="F102" s="47">
        <f t="shared" si="79"/>
        <v>29401</v>
      </c>
      <c r="G102" s="47">
        <f t="shared" si="80"/>
        <v>29700</v>
      </c>
      <c r="H102" s="50">
        <f t="shared" si="81"/>
        <v>219001</v>
      </c>
      <c r="I102" s="50">
        <f t="shared" si="74"/>
        <v>220500</v>
      </c>
      <c r="J102" s="50">
        <f t="shared" si="82"/>
        <v>147001</v>
      </c>
      <c r="K102" s="50">
        <f t="shared" ref="K102" si="118">J102+1500-1</f>
        <v>148500</v>
      </c>
      <c r="L102" s="49">
        <f t="shared" si="84"/>
        <v>1020001</v>
      </c>
      <c r="M102" s="49">
        <f t="shared" si="76"/>
        <v>1026000</v>
      </c>
      <c r="N102" s="51">
        <f t="shared" si="85"/>
        <v>3783001</v>
      </c>
      <c r="O102" s="51">
        <f t="shared" si="77"/>
        <v>3802500</v>
      </c>
      <c r="P102" s="52">
        <f t="shared" si="86"/>
        <v>11991001</v>
      </c>
      <c r="Q102" s="52">
        <f t="shared" si="78"/>
        <v>12046500</v>
      </c>
    </row>
    <row r="103" spans="1:17" s="3" customFormat="1" ht="30" customHeight="1">
      <c r="A103" s="12" t="s">
        <v>303</v>
      </c>
      <c r="B103" s="18" t="s">
        <v>304</v>
      </c>
      <c r="C103" s="14" t="s">
        <v>305</v>
      </c>
      <c r="D103" s="15" t="s">
        <v>8</v>
      </c>
      <c r="E103" s="16">
        <v>100</v>
      </c>
      <c r="F103" s="47">
        <f t="shared" si="79"/>
        <v>29701</v>
      </c>
      <c r="G103" s="47">
        <f t="shared" si="80"/>
        <v>30000</v>
      </c>
      <c r="H103" s="50">
        <f t="shared" si="81"/>
        <v>220501</v>
      </c>
      <c r="I103" s="50">
        <f t="shared" si="74"/>
        <v>222000</v>
      </c>
      <c r="J103" s="50">
        <f t="shared" si="82"/>
        <v>148501</v>
      </c>
      <c r="K103" s="50">
        <f t="shared" ref="K103" si="119">J103+1500-1</f>
        <v>150000</v>
      </c>
      <c r="L103" s="49">
        <f t="shared" si="84"/>
        <v>1026001</v>
      </c>
      <c r="M103" s="49">
        <f t="shared" si="76"/>
        <v>1032000</v>
      </c>
      <c r="N103" s="51">
        <f t="shared" si="85"/>
        <v>3802501</v>
      </c>
      <c r="O103" s="51">
        <f t="shared" si="77"/>
        <v>3822000</v>
      </c>
      <c r="P103" s="52">
        <f t="shared" si="86"/>
        <v>12046501</v>
      </c>
      <c r="Q103" s="52">
        <f t="shared" si="78"/>
        <v>12102000</v>
      </c>
    </row>
    <row r="104" spans="1:17" s="3" customFormat="1" ht="30" customHeight="1">
      <c r="A104" s="12" t="s">
        <v>306</v>
      </c>
      <c r="B104" s="18" t="s">
        <v>307</v>
      </c>
      <c r="C104" s="14" t="s">
        <v>308</v>
      </c>
      <c r="D104" s="15" t="s">
        <v>8</v>
      </c>
      <c r="E104" s="16">
        <v>101</v>
      </c>
      <c r="F104" s="47">
        <f t="shared" si="79"/>
        <v>30001</v>
      </c>
      <c r="G104" s="47">
        <f t="shared" si="80"/>
        <v>30300</v>
      </c>
      <c r="H104" s="50">
        <f t="shared" si="81"/>
        <v>222001</v>
      </c>
      <c r="I104" s="50">
        <f t="shared" si="74"/>
        <v>223500</v>
      </c>
      <c r="J104" s="50">
        <f t="shared" si="82"/>
        <v>150001</v>
      </c>
      <c r="K104" s="50">
        <f t="shared" ref="K104" si="120">J104+1500-1</f>
        <v>151500</v>
      </c>
      <c r="L104" s="49">
        <f t="shared" si="84"/>
        <v>1032001</v>
      </c>
      <c r="M104" s="49">
        <f t="shared" si="76"/>
        <v>1038000</v>
      </c>
      <c r="N104" s="51">
        <f t="shared" si="85"/>
        <v>3822001</v>
      </c>
      <c r="O104" s="51">
        <f t="shared" si="77"/>
        <v>3841500</v>
      </c>
      <c r="P104" s="52">
        <f t="shared" si="86"/>
        <v>12102001</v>
      </c>
      <c r="Q104" s="52">
        <f t="shared" si="78"/>
        <v>12157500</v>
      </c>
    </row>
    <row r="105" spans="1:17" s="3" customFormat="1" ht="30" customHeight="1">
      <c r="A105" s="12" t="s">
        <v>309</v>
      </c>
      <c r="B105" s="18" t="s">
        <v>310</v>
      </c>
      <c r="C105" s="14" t="s">
        <v>311</v>
      </c>
      <c r="D105" s="15" t="s">
        <v>8</v>
      </c>
      <c r="E105" s="16">
        <v>102</v>
      </c>
      <c r="F105" s="47">
        <f t="shared" si="79"/>
        <v>30301</v>
      </c>
      <c r="G105" s="47">
        <f t="shared" si="80"/>
        <v>30600</v>
      </c>
      <c r="H105" s="50">
        <f t="shared" si="81"/>
        <v>223501</v>
      </c>
      <c r="I105" s="50">
        <f t="shared" si="74"/>
        <v>225000</v>
      </c>
      <c r="J105" s="50">
        <f t="shared" si="82"/>
        <v>151501</v>
      </c>
      <c r="K105" s="50">
        <f t="shared" ref="K105" si="121">J105+1500-1</f>
        <v>153000</v>
      </c>
      <c r="L105" s="49">
        <f t="shared" si="84"/>
        <v>1038001</v>
      </c>
      <c r="M105" s="49">
        <f t="shared" si="76"/>
        <v>1044000</v>
      </c>
      <c r="N105" s="51">
        <f t="shared" si="85"/>
        <v>3841501</v>
      </c>
      <c r="O105" s="51">
        <f t="shared" si="77"/>
        <v>3861000</v>
      </c>
      <c r="P105" s="52">
        <f t="shared" si="86"/>
        <v>12157501</v>
      </c>
      <c r="Q105" s="52">
        <f t="shared" si="78"/>
        <v>12213000</v>
      </c>
    </row>
    <row r="106" spans="1:17" s="3" customFormat="1" ht="30" customHeight="1">
      <c r="A106" s="17" t="s">
        <v>312</v>
      </c>
      <c r="B106" s="18" t="s">
        <v>313</v>
      </c>
      <c r="C106" s="14" t="s">
        <v>314</v>
      </c>
      <c r="D106" s="15" t="s">
        <v>8</v>
      </c>
      <c r="E106" s="16">
        <v>103</v>
      </c>
      <c r="F106" s="47">
        <f t="shared" si="79"/>
        <v>30601</v>
      </c>
      <c r="G106" s="47">
        <f t="shared" si="80"/>
        <v>30900</v>
      </c>
      <c r="H106" s="50">
        <f t="shared" si="81"/>
        <v>225001</v>
      </c>
      <c r="I106" s="50">
        <f t="shared" si="74"/>
        <v>226500</v>
      </c>
      <c r="J106" s="50">
        <f t="shared" si="82"/>
        <v>153001</v>
      </c>
      <c r="K106" s="50">
        <f t="shared" ref="K106" si="122">J106+1500-1</f>
        <v>154500</v>
      </c>
      <c r="L106" s="49">
        <f t="shared" si="84"/>
        <v>1044001</v>
      </c>
      <c r="M106" s="49">
        <f t="shared" si="76"/>
        <v>1050000</v>
      </c>
      <c r="N106" s="51">
        <f t="shared" si="85"/>
        <v>3861001</v>
      </c>
      <c r="O106" s="51">
        <f t="shared" si="77"/>
        <v>3880500</v>
      </c>
      <c r="P106" s="52">
        <f t="shared" si="86"/>
        <v>12213001</v>
      </c>
      <c r="Q106" s="52">
        <f t="shared" si="78"/>
        <v>12268500</v>
      </c>
    </row>
    <row r="107" spans="1:17" s="3" customFormat="1" ht="30" customHeight="1">
      <c r="A107" s="17" t="s">
        <v>315</v>
      </c>
      <c r="B107" s="18" t="s">
        <v>316</v>
      </c>
      <c r="C107" s="14" t="s">
        <v>317</v>
      </c>
      <c r="D107" s="15" t="s">
        <v>8</v>
      </c>
      <c r="E107" s="16">
        <v>104</v>
      </c>
      <c r="F107" s="47">
        <f t="shared" si="79"/>
        <v>30901</v>
      </c>
      <c r="G107" s="47">
        <f t="shared" si="80"/>
        <v>31200</v>
      </c>
      <c r="H107" s="50">
        <f t="shared" si="81"/>
        <v>226501</v>
      </c>
      <c r="I107" s="50">
        <f t="shared" si="74"/>
        <v>228000</v>
      </c>
      <c r="J107" s="50">
        <f t="shared" si="82"/>
        <v>154501</v>
      </c>
      <c r="K107" s="50">
        <f t="shared" ref="K107" si="123">J107+1500-1</f>
        <v>156000</v>
      </c>
      <c r="L107" s="49">
        <f t="shared" si="84"/>
        <v>1050001</v>
      </c>
      <c r="M107" s="49">
        <f t="shared" si="76"/>
        <v>1056000</v>
      </c>
      <c r="N107" s="51">
        <f t="shared" si="85"/>
        <v>3880501</v>
      </c>
      <c r="O107" s="51">
        <f t="shared" si="77"/>
        <v>3900000</v>
      </c>
      <c r="P107" s="52">
        <f t="shared" si="86"/>
        <v>12268501</v>
      </c>
      <c r="Q107" s="52">
        <f t="shared" si="78"/>
        <v>12324000</v>
      </c>
    </row>
    <row r="108" spans="1:17" s="3" customFormat="1" ht="30" customHeight="1">
      <c r="A108" s="17" t="s">
        <v>318</v>
      </c>
      <c r="B108" s="18" t="s">
        <v>319</v>
      </c>
      <c r="C108" s="14" t="s">
        <v>320</v>
      </c>
      <c r="D108" s="15" t="s">
        <v>8</v>
      </c>
      <c r="E108" s="16">
        <v>105</v>
      </c>
      <c r="F108" s="47">
        <f t="shared" si="79"/>
        <v>31201</v>
      </c>
      <c r="G108" s="47">
        <f t="shared" si="80"/>
        <v>31500</v>
      </c>
      <c r="H108" s="50">
        <f t="shared" si="81"/>
        <v>228001</v>
      </c>
      <c r="I108" s="50">
        <f t="shared" si="74"/>
        <v>229500</v>
      </c>
      <c r="J108" s="50">
        <f t="shared" si="82"/>
        <v>156001</v>
      </c>
      <c r="K108" s="50">
        <f t="shared" ref="K108" si="124">J108+1500-1</f>
        <v>157500</v>
      </c>
      <c r="L108" s="49">
        <f t="shared" si="84"/>
        <v>1056001</v>
      </c>
      <c r="M108" s="49">
        <f t="shared" si="76"/>
        <v>1062000</v>
      </c>
      <c r="N108" s="51">
        <f t="shared" si="85"/>
        <v>3900001</v>
      </c>
      <c r="O108" s="51">
        <f t="shared" si="77"/>
        <v>3919500</v>
      </c>
      <c r="P108" s="47">
        <f t="shared" si="86"/>
        <v>12324001</v>
      </c>
      <c r="Q108" s="47">
        <f t="shared" si="78"/>
        <v>12379500</v>
      </c>
    </row>
    <row r="109" spans="1:17" s="3" customFormat="1" ht="30" customHeight="1">
      <c r="A109" s="17" t="s">
        <v>321</v>
      </c>
      <c r="B109" s="18" t="s">
        <v>322</v>
      </c>
      <c r="C109" s="14" t="s">
        <v>323</v>
      </c>
      <c r="D109" s="15" t="s">
        <v>8</v>
      </c>
      <c r="E109" s="16">
        <v>106</v>
      </c>
      <c r="F109" s="47">
        <f t="shared" si="79"/>
        <v>31501</v>
      </c>
      <c r="G109" s="47">
        <f t="shared" si="80"/>
        <v>31800</v>
      </c>
      <c r="H109" s="50">
        <f t="shared" si="81"/>
        <v>229501</v>
      </c>
      <c r="I109" s="50">
        <f t="shared" si="74"/>
        <v>231000</v>
      </c>
      <c r="J109" s="50">
        <f t="shared" si="82"/>
        <v>157501</v>
      </c>
      <c r="K109" s="50">
        <f t="shared" ref="K109" si="125">J109+1500-1</f>
        <v>159000</v>
      </c>
      <c r="L109" s="49">
        <f t="shared" si="84"/>
        <v>1062001</v>
      </c>
      <c r="M109" s="49">
        <f t="shared" si="76"/>
        <v>1068000</v>
      </c>
      <c r="N109" s="51">
        <f t="shared" si="85"/>
        <v>3919501</v>
      </c>
      <c r="O109" s="51">
        <f t="shared" si="77"/>
        <v>3939000</v>
      </c>
      <c r="P109" s="47">
        <f t="shared" si="86"/>
        <v>12379501</v>
      </c>
      <c r="Q109" s="47">
        <f t="shared" si="78"/>
        <v>12435000</v>
      </c>
    </row>
    <row r="110" spans="1:17" s="3" customFormat="1" ht="30" customHeight="1">
      <c r="A110" s="12" t="s">
        <v>324</v>
      </c>
      <c r="B110" s="18" t="s">
        <v>325</v>
      </c>
      <c r="C110" s="14" t="s">
        <v>326</v>
      </c>
      <c r="D110" s="15" t="s">
        <v>8</v>
      </c>
      <c r="E110" s="16">
        <v>107</v>
      </c>
      <c r="F110" s="47">
        <f t="shared" si="79"/>
        <v>31801</v>
      </c>
      <c r="G110" s="47">
        <f t="shared" si="80"/>
        <v>32100</v>
      </c>
      <c r="H110" s="50">
        <f t="shared" si="81"/>
        <v>231001</v>
      </c>
      <c r="I110" s="50">
        <f t="shared" si="74"/>
        <v>232500</v>
      </c>
      <c r="J110" s="50">
        <f t="shared" si="82"/>
        <v>159001</v>
      </c>
      <c r="K110" s="50">
        <f t="shared" ref="K110" si="126">J110+1500-1</f>
        <v>160500</v>
      </c>
      <c r="L110" s="49">
        <f t="shared" si="84"/>
        <v>1068001</v>
      </c>
      <c r="M110" s="49">
        <f t="shared" si="76"/>
        <v>1074000</v>
      </c>
      <c r="N110" s="51">
        <f t="shared" si="85"/>
        <v>3939001</v>
      </c>
      <c r="O110" s="51">
        <f t="shared" si="77"/>
        <v>3958500</v>
      </c>
      <c r="P110" s="47">
        <f t="shared" si="86"/>
        <v>12435001</v>
      </c>
      <c r="Q110" s="47">
        <f t="shared" si="78"/>
        <v>12490500</v>
      </c>
    </row>
    <row r="111" spans="1:17" s="3" customFormat="1" ht="30" customHeight="1">
      <c r="A111" s="12" t="s">
        <v>327</v>
      </c>
      <c r="B111" s="18" t="s">
        <v>328</v>
      </c>
      <c r="C111" s="14" t="s">
        <v>329</v>
      </c>
      <c r="D111" s="15" t="s">
        <v>8</v>
      </c>
      <c r="E111" s="16">
        <v>108</v>
      </c>
      <c r="F111" s="47">
        <f t="shared" si="79"/>
        <v>32101</v>
      </c>
      <c r="G111" s="47">
        <f t="shared" si="80"/>
        <v>32400</v>
      </c>
      <c r="H111" s="50">
        <f t="shared" si="81"/>
        <v>232501</v>
      </c>
      <c r="I111" s="50">
        <f t="shared" si="74"/>
        <v>234000</v>
      </c>
      <c r="J111" s="50">
        <f t="shared" si="82"/>
        <v>160501</v>
      </c>
      <c r="K111" s="50">
        <f t="shared" ref="K111" si="127">J111+1500-1</f>
        <v>162000</v>
      </c>
      <c r="L111" s="49">
        <f t="shared" si="84"/>
        <v>1074001</v>
      </c>
      <c r="M111" s="49">
        <f t="shared" si="76"/>
        <v>1080000</v>
      </c>
      <c r="N111" s="51">
        <f t="shared" si="85"/>
        <v>3958501</v>
      </c>
      <c r="O111" s="51">
        <f t="shared" si="77"/>
        <v>3978000</v>
      </c>
      <c r="P111" s="47">
        <f t="shared" si="86"/>
        <v>12490501</v>
      </c>
      <c r="Q111" s="47">
        <f t="shared" si="78"/>
        <v>12546000</v>
      </c>
    </row>
    <row r="112" spans="1:17" s="3" customFormat="1" ht="30" customHeight="1">
      <c r="A112" s="12" t="s">
        <v>330</v>
      </c>
      <c r="B112" s="18" t="s">
        <v>331</v>
      </c>
      <c r="C112" s="14" t="s">
        <v>332</v>
      </c>
      <c r="D112" s="15" t="s">
        <v>8</v>
      </c>
      <c r="E112" s="16">
        <v>109</v>
      </c>
      <c r="F112" s="47">
        <f t="shared" si="79"/>
        <v>32401</v>
      </c>
      <c r="G112" s="47">
        <f t="shared" si="80"/>
        <v>32700</v>
      </c>
      <c r="H112" s="50">
        <f t="shared" si="81"/>
        <v>234001</v>
      </c>
      <c r="I112" s="50">
        <f t="shared" si="74"/>
        <v>235500</v>
      </c>
      <c r="J112" s="50">
        <f t="shared" si="82"/>
        <v>162001</v>
      </c>
      <c r="K112" s="50">
        <f t="shared" ref="K112" si="128">J112+1500-1</f>
        <v>163500</v>
      </c>
      <c r="L112" s="49">
        <f t="shared" si="84"/>
        <v>1080001</v>
      </c>
      <c r="M112" s="49">
        <f t="shared" si="76"/>
        <v>1086000</v>
      </c>
      <c r="N112" s="51">
        <f t="shared" si="85"/>
        <v>3978001</v>
      </c>
      <c r="O112" s="51">
        <f t="shared" si="77"/>
        <v>3997500</v>
      </c>
      <c r="P112" s="47">
        <f t="shared" si="86"/>
        <v>12546001</v>
      </c>
      <c r="Q112" s="47">
        <f t="shared" si="78"/>
        <v>12601500</v>
      </c>
    </row>
    <row r="113" spans="1:17" s="3" customFormat="1" ht="30" customHeight="1">
      <c r="A113" s="12" t="s">
        <v>333</v>
      </c>
      <c r="B113" s="18" t="s">
        <v>334</v>
      </c>
      <c r="C113" s="14" t="s">
        <v>335</v>
      </c>
      <c r="D113" s="15" t="s">
        <v>8</v>
      </c>
      <c r="E113" s="16">
        <v>110</v>
      </c>
      <c r="F113" s="47">
        <f t="shared" si="79"/>
        <v>32701</v>
      </c>
      <c r="G113" s="47">
        <f t="shared" si="80"/>
        <v>33000</v>
      </c>
      <c r="H113" s="50">
        <f t="shared" si="81"/>
        <v>235501</v>
      </c>
      <c r="I113" s="50">
        <f t="shared" si="74"/>
        <v>237000</v>
      </c>
      <c r="J113" s="50">
        <f t="shared" si="82"/>
        <v>163501</v>
      </c>
      <c r="K113" s="50">
        <f t="shared" ref="K113" si="129">J113+1500-1</f>
        <v>165000</v>
      </c>
      <c r="L113" s="49">
        <f t="shared" si="84"/>
        <v>1086001</v>
      </c>
      <c r="M113" s="49">
        <f t="shared" si="76"/>
        <v>1092000</v>
      </c>
      <c r="N113" s="51">
        <f t="shared" si="85"/>
        <v>3997501</v>
      </c>
      <c r="O113" s="51">
        <f t="shared" si="77"/>
        <v>4017000</v>
      </c>
      <c r="P113" s="47">
        <f t="shared" si="86"/>
        <v>12601501</v>
      </c>
      <c r="Q113" s="47">
        <f t="shared" si="78"/>
        <v>12657000</v>
      </c>
    </row>
    <row r="114" spans="1:17" s="3" customFormat="1" ht="30" customHeight="1">
      <c r="A114" s="17" t="s">
        <v>336</v>
      </c>
      <c r="B114" s="18" t="s">
        <v>337</v>
      </c>
      <c r="C114" s="14" t="s">
        <v>338</v>
      </c>
      <c r="D114" s="15" t="s">
        <v>8</v>
      </c>
      <c r="E114" s="16">
        <v>111</v>
      </c>
      <c r="F114" s="47">
        <f t="shared" si="79"/>
        <v>33001</v>
      </c>
      <c r="G114" s="47">
        <f t="shared" si="80"/>
        <v>33300</v>
      </c>
      <c r="H114" s="50">
        <f t="shared" si="81"/>
        <v>237001</v>
      </c>
      <c r="I114" s="50">
        <f t="shared" si="74"/>
        <v>238500</v>
      </c>
      <c r="J114" s="50">
        <f t="shared" si="82"/>
        <v>165001</v>
      </c>
      <c r="K114" s="50">
        <f t="shared" ref="K114" si="130">J114+1500-1</f>
        <v>166500</v>
      </c>
      <c r="L114" s="49">
        <f t="shared" si="84"/>
        <v>1092001</v>
      </c>
      <c r="M114" s="49">
        <f t="shared" si="76"/>
        <v>1098000</v>
      </c>
      <c r="N114" s="51">
        <f t="shared" si="85"/>
        <v>4017001</v>
      </c>
      <c r="O114" s="51">
        <f t="shared" si="77"/>
        <v>4036500</v>
      </c>
      <c r="P114" s="47">
        <f t="shared" si="86"/>
        <v>12657001</v>
      </c>
      <c r="Q114" s="47">
        <f t="shared" si="78"/>
        <v>12712500</v>
      </c>
    </row>
    <row r="115" spans="1:17" s="3" customFormat="1" ht="30" customHeight="1">
      <c r="A115" s="17" t="s">
        <v>339</v>
      </c>
      <c r="B115" s="18" t="s">
        <v>340</v>
      </c>
      <c r="C115" s="14" t="s">
        <v>341</v>
      </c>
      <c r="D115" s="15" t="s">
        <v>8</v>
      </c>
      <c r="E115" s="16">
        <v>112</v>
      </c>
      <c r="F115" s="47">
        <f t="shared" si="79"/>
        <v>33301</v>
      </c>
      <c r="G115" s="47">
        <f t="shared" si="80"/>
        <v>33600</v>
      </c>
      <c r="H115" s="50">
        <f t="shared" si="81"/>
        <v>238501</v>
      </c>
      <c r="I115" s="50">
        <f t="shared" si="74"/>
        <v>240000</v>
      </c>
      <c r="J115" s="50">
        <f t="shared" si="82"/>
        <v>166501</v>
      </c>
      <c r="K115" s="50">
        <f t="shared" ref="K115" si="131">J115+1500-1</f>
        <v>168000</v>
      </c>
      <c r="L115" s="49">
        <f t="shared" si="84"/>
        <v>1098001</v>
      </c>
      <c r="M115" s="49">
        <f t="shared" si="76"/>
        <v>1104000</v>
      </c>
      <c r="N115" s="51">
        <f t="shared" si="85"/>
        <v>4036501</v>
      </c>
      <c r="O115" s="51">
        <f t="shared" si="77"/>
        <v>4056000</v>
      </c>
      <c r="P115" s="47">
        <f t="shared" si="86"/>
        <v>12712501</v>
      </c>
      <c r="Q115" s="47">
        <f t="shared" si="78"/>
        <v>12768000</v>
      </c>
    </row>
    <row r="116" spans="1:17" s="3" customFormat="1" ht="30" customHeight="1">
      <c r="A116" s="17" t="s">
        <v>342</v>
      </c>
      <c r="B116" s="18" t="s">
        <v>343</v>
      </c>
      <c r="C116" s="14" t="s">
        <v>344</v>
      </c>
      <c r="D116" s="15" t="s">
        <v>8</v>
      </c>
      <c r="E116" s="16">
        <v>113</v>
      </c>
      <c r="F116" s="47">
        <f t="shared" si="79"/>
        <v>33601</v>
      </c>
      <c r="G116" s="47">
        <f t="shared" si="80"/>
        <v>33900</v>
      </c>
      <c r="H116" s="50">
        <f t="shared" si="81"/>
        <v>240001</v>
      </c>
      <c r="I116" s="50">
        <f t="shared" si="74"/>
        <v>241500</v>
      </c>
      <c r="J116" s="50">
        <f t="shared" si="82"/>
        <v>168001</v>
      </c>
      <c r="K116" s="50">
        <f t="shared" ref="K116" si="132">J116+1500-1</f>
        <v>169500</v>
      </c>
      <c r="L116" s="49">
        <f t="shared" si="84"/>
        <v>1104001</v>
      </c>
      <c r="M116" s="49">
        <f t="shared" si="76"/>
        <v>1110000</v>
      </c>
      <c r="N116" s="51">
        <f t="shared" si="85"/>
        <v>4056001</v>
      </c>
      <c r="O116" s="51">
        <f t="shared" si="77"/>
        <v>4075500</v>
      </c>
      <c r="P116" s="52">
        <f t="shared" si="86"/>
        <v>12768001</v>
      </c>
      <c r="Q116" s="52">
        <f t="shared" si="78"/>
        <v>12823500</v>
      </c>
    </row>
    <row r="117" spans="1:17" s="3" customFormat="1" ht="30" customHeight="1">
      <c r="A117" s="17" t="s">
        <v>345</v>
      </c>
      <c r="B117" s="18" t="s">
        <v>346</v>
      </c>
      <c r="C117" s="14" t="s">
        <v>347</v>
      </c>
      <c r="D117" s="15" t="s">
        <v>8</v>
      </c>
      <c r="E117" s="16">
        <v>114</v>
      </c>
      <c r="F117" s="47">
        <f t="shared" si="79"/>
        <v>33901</v>
      </c>
      <c r="G117" s="47">
        <f t="shared" si="80"/>
        <v>34200</v>
      </c>
      <c r="H117" s="50">
        <f t="shared" si="81"/>
        <v>241501</v>
      </c>
      <c r="I117" s="50">
        <f t="shared" si="74"/>
        <v>243000</v>
      </c>
      <c r="J117" s="50">
        <f t="shared" si="82"/>
        <v>169501</v>
      </c>
      <c r="K117" s="50">
        <f t="shared" ref="K117" si="133">J117+1500-1</f>
        <v>171000</v>
      </c>
      <c r="L117" s="49">
        <f t="shared" si="84"/>
        <v>1110001</v>
      </c>
      <c r="M117" s="49">
        <f t="shared" si="76"/>
        <v>1116000</v>
      </c>
      <c r="N117" s="51">
        <f t="shared" si="85"/>
        <v>4075501</v>
      </c>
      <c r="O117" s="51">
        <f t="shared" si="77"/>
        <v>4095000</v>
      </c>
      <c r="P117" s="52">
        <f t="shared" si="86"/>
        <v>12823501</v>
      </c>
      <c r="Q117" s="52">
        <f t="shared" si="78"/>
        <v>12879000</v>
      </c>
    </row>
    <row r="118" spans="1:17" s="3" customFormat="1" ht="30" customHeight="1">
      <c r="A118" s="12" t="s">
        <v>348</v>
      </c>
      <c r="B118" s="18" t="s">
        <v>349</v>
      </c>
      <c r="C118" s="14" t="s">
        <v>350</v>
      </c>
      <c r="D118" s="15" t="s">
        <v>8</v>
      </c>
      <c r="E118" s="16">
        <v>115</v>
      </c>
      <c r="F118" s="47">
        <f t="shared" si="79"/>
        <v>34201</v>
      </c>
      <c r="G118" s="47">
        <f t="shared" si="80"/>
        <v>34500</v>
      </c>
      <c r="H118" s="50">
        <f t="shared" si="81"/>
        <v>243001</v>
      </c>
      <c r="I118" s="50">
        <f t="shared" si="74"/>
        <v>244500</v>
      </c>
      <c r="J118" s="50">
        <f t="shared" si="82"/>
        <v>171001</v>
      </c>
      <c r="K118" s="50">
        <f t="shared" ref="K118" si="134">J118+1500-1</f>
        <v>172500</v>
      </c>
      <c r="L118" s="49">
        <f t="shared" si="84"/>
        <v>1116001</v>
      </c>
      <c r="M118" s="49">
        <f t="shared" si="76"/>
        <v>1122000</v>
      </c>
      <c r="N118" s="51">
        <f t="shared" si="85"/>
        <v>4095001</v>
      </c>
      <c r="O118" s="51">
        <f t="shared" si="77"/>
        <v>4114500</v>
      </c>
      <c r="P118" s="52">
        <f t="shared" si="86"/>
        <v>12879001</v>
      </c>
      <c r="Q118" s="52">
        <f t="shared" si="78"/>
        <v>12934500</v>
      </c>
    </row>
    <row r="119" spans="1:17" s="3" customFormat="1" ht="30" customHeight="1">
      <c r="A119" s="12" t="s">
        <v>351</v>
      </c>
      <c r="B119" s="18" t="s">
        <v>352</v>
      </c>
      <c r="C119" s="14" t="s">
        <v>353</v>
      </c>
      <c r="D119" s="15" t="s">
        <v>8</v>
      </c>
      <c r="E119" s="16">
        <v>116</v>
      </c>
      <c r="F119" s="47">
        <f t="shared" si="79"/>
        <v>34501</v>
      </c>
      <c r="G119" s="47">
        <f t="shared" si="80"/>
        <v>34800</v>
      </c>
      <c r="H119" s="50">
        <f t="shared" si="81"/>
        <v>244501</v>
      </c>
      <c r="I119" s="50">
        <f t="shared" si="74"/>
        <v>246000</v>
      </c>
      <c r="J119" s="50">
        <f t="shared" si="82"/>
        <v>172501</v>
      </c>
      <c r="K119" s="50">
        <f t="shared" ref="K119" si="135">J119+1500-1</f>
        <v>174000</v>
      </c>
      <c r="L119" s="49">
        <f t="shared" si="84"/>
        <v>1122001</v>
      </c>
      <c r="M119" s="49">
        <f t="shared" si="76"/>
        <v>1128000</v>
      </c>
      <c r="N119" s="51">
        <f t="shared" si="85"/>
        <v>4114501</v>
      </c>
      <c r="O119" s="51">
        <f t="shared" si="77"/>
        <v>4134000</v>
      </c>
      <c r="P119" s="52">
        <f t="shared" si="86"/>
        <v>12934501</v>
      </c>
      <c r="Q119" s="52">
        <f t="shared" si="78"/>
        <v>12990000</v>
      </c>
    </row>
    <row r="120" spans="1:17" s="3" customFormat="1" ht="30" customHeight="1">
      <c r="A120" s="12" t="s">
        <v>354</v>
      </c>
      <c r="B120" s="18" t="s">
        <v>355</v>
      </c>
      <c r="C120" s="14" t="s">
        <v>356</v>
      </c>
      <c r="D120" s="15" t="s">
        <v>8</v>
      </c>
      <c r="E120" s="16">
        <v>117</v>
      </c>
      <c r="F120" s="47">
        <f t="shared" si="79"/>
        <v>34801</v>
      </c>
      <c r="G120" s="47">
        <f t="shared" si="80"/>
        <v>35100</v>
      </c>
      <c r="H120" s="50">
        <f t="shared" si="81"/>
        <v>246001</v>
      </c>
      <c r="I120" s="50">
        <f t="shared" si="74"/>
        <v>247500</v>
      </c>
      <c r="J120" s="50">
        <f t="shared" si="82"/>
        <v>174001</v>
      </c>
      <c r="K120" s="50">
        <f t="shared" ref="K120" si="136">J120+1500-1</f>
        <v>175500</v>
      </c>
      <c r="L120" s="49">
        <f t="shared" si="84"/>
        <v>1128001</v>
      </c>
      <c r="M120" s="49">
        <f t="shared" si="76"/>
        <v>1134000</v>
      </c>
      <c r="N120" s="51">
        <f t="shared" si="85"/>
        <v>4134001</v>
      </c>
      <c r="O120" s="51">
        <f t="shared" si="77"/>
        <v>4153500</v>
      </c>
      <c r="P120" s="52">
        <f t="shared" si="86"/>
        <v>12990001</v>
      </c>
      <c r="Q120" s="52">
        <f t="shared" si="78"/>
        <v>13045500</v>
      </c>
    </row>
    <row r="121" spans="1:17" s="3" customFormat="1" ht="30" customHeight="1">
      <c r="A121" s="12" t="s">
        <v>357</v>
      </c>
      <c r="B121" s="18" t="s">
        <v>358</v>
      </c>
      <c r="C121" s="14" t="s">
        <v>359</v>
      </c>
      <c r="D121" s="15" t="s">
        <v>8</v>
      </c>
      <c r="E121" s="16">
        <v>118</v>
      </c>
      <c r="F121" s="47">
        <f t="shared" si="79"/>
        <v>35101</v>
      </c>
      <c r="G121" s="47">
        <f t="shared" si="80"/>
        <v>35400</v>
      </c>
      <c r="H121" s="50">
        <f t="shared" si="81"/>
        <v>247501</v>
      </c>
      <c r="I121" s="50">
        <f t="shared" si="74"/>
        <v>249000</v>
      </c>
      <c r="J121" s="50">
        <f t="shared" si="82"/>
        <v>175501</v>
      </c>
      <c r="K121" s="50">
        <f t="shared" ref="K121" si="137">J121+1500-1</f>
        <v>177000</v>
      </c>
      <c r="L121" s="49">
        <f t="shared" si="84"/>
        <v>1134001</v>
      </c>
      <c r="M121" s="49">
        <f t="shared" si="76"/>
        <v>1140000</v>
      </c>
      <c r="N121" s="51">
        <f t="shared" si="85"/>
        <v>4153501</v>
      </c>
      <c r="O121" s="51">
        <f t="shared" si="77"/>
        <v>4173000</v>
      </c>
      <c r="P121" s="52">
        <f t="shared" si="86"/>
        <v>13045501</v>
      </c>
      <c r="Q121" s="52">
        <f t="shared" si="78"/>
        <v>13101000</v>
      </c>
    </row>
    <row r="122" spans="1:17" s="3" customFormat="1" ht="30" customHeight="1">
      <c r="A122" s="17" t="s">
        <v>360</v>
      </c>
      <c r="B122" s="18" t="s">
        <v>361</v>
      </c>
      <c r="C122" s="14" t="s">
        <v>362</v>
      </c>
      <c r="D122" s="15" t="s">
        <v>8</v>
      </c>
      <c r="E122" s="16">
        <v>119</v>
      </c>
      <c r="F122" s="47">
        <f t="shared" si="79"/>
        <v>35401</v>
      </c>
      <c r="G122" s="47">
        <f t="shared" si="80"/>
        <v>35700</v>
      </c>
      <c r="H122" s="50">
        <f t="shared" si="81"/>
        <v>249001</v>
      </c>
      <c r="I122" s="50">
        <f t="shared" si="74"/>
        <v>250500</v>
      </c>
      <c r="J122" s="50">
        <f t="shared" si="82"/>
        <v>177001</v>
      </c>
      <c r="K122" s="50">
        <f t="shared" ref="K122" si="138">J122+1500-1</f>
        <v>178500</v>
      </c>
      <c r="L122" s="49">
        <f t="shared" si="84"/>
        <v>1140001</v>
      </c>
      <c r="M122" s="49">
        <f t="shared" si="76"/>
        <v>1146000</v>
      </c>
      <c r="N122" s="51">
        <f t="shared" si="85"/>
        <v>4173001</v>
      </c>
      <c r="O122" s="51">
        <f t="shared" si="77"/>
        <v>4192500</v>
      </c>
      <c r="P122" s="52">
        <f t="shared" si="86"/>
        <v>13101001</v>
      </c>
      <c r="Q122" s="52">
        <f t="shared" si="78"/>
        <v>13156500</v>
      </c>
    </row>
    <row r="123" spans="1:17" s="3" customFormat="1" ht="30" customHeight="1">
      <c r="A123" s="17" t="s">
        <v>363</v>
      </c>
      <c r="B123" s="18" t="s">
        <v>364</v>
      </c>
      <c r="C123" s="14" t="s">
        <v>365</v>
      </c>
      <c r="D123" s="15" t="s">
        <v>8</v>
      </c>
      <c r="E123" s="16">
        <v>120</v>
      </c>
      <c r="F123" s="47">
        <f t="shared" si="79"/>
        <v>35701</v>
      </c>
      <c r="G123" s="47">
        <f t="shared" si="80"/>
        <v>36000</v>
      </c>
      <c r="H123" s="50">
        <f t="shared" si="81"/>
        <v>250501</v>
      </c>
      <c r="I123" s="50">
        <f t="shared" si="74"/>
        <v>252000</v>
      </c>
      <c r="J123" s="50">
        <f t="shared" si="82"/>
        <v>178501</v>
      </c>
      <c r="K123" s="65">
        <f t="shared" ref="K123" si="139">J123+1500-1</f>
        <v>180000</v>
      </c>
      <c r="L123" s="49">
        <f t="shared" si="84"/>
        <v>1146001</v>
      </c>
      <c r="M123" s="49">
        <f t="shared" si="76"/>
        <v>1152000</v>
      </c>
      <c r="N123" s="51">
        <f t="shared" si="85"/>
        <v>4192501</v>
      </c>
      <c r="O123" s="51">
        <f t="shared" si="77"/>
        <v>4212000</v>
      </c>
      <c r="P123" s="52">
        <f t="shared" si="86"/>
        <v>13156501</v>
      </c>
      <c r="Q123" s="52">
        <f t="shared" si="78"/>
        <v>13212000</v>
      </c>
    </row>
    <row r="124" spans="1:17" s="3" customFormat="1" ht="30" customHeight="1">
      <c r="A124" s="17" t="s">
        <v>366</v>
      </c>
      <c r="B124" s="18" t="s">
        <v>367</v>
      </c>
      <c r="C124" s="14" t="s">
        <v>368</v>
      </c>
      <c r="D124" s="15" t="s">
        <v>8</v>
      </c>
      <c r="E124" s="16">
        <v>121</v>
      </c>
      <c r="F124" s="47">
        <f t="shared" si="79"/>
        <v>36001</v>
      </c>
      <c r="G124" s="47">
        <f t="shared" si="80"/>
        <v>36300</v>
      </c>
      <c r="H124" s="50">
        <f t="shared" si="81"/>
        <v>252001</v>
      </c>
      <c r="I124" s="50">
        <f t="shared" si="74"/>
        <v>253500</v>
      </c>
      <c r="J124" s="65">
        <f t="shared" si="82"/>
        <v>180001</v>
      </c>
      <c r="K124" s="50">
        <f t="shared" ref="K124" si="140">J124+1500-1</f>
        <v>181500</v>
      </c>
      <c r="L124" s="49">
        <f t="shared" si="84"/>
        <v>1152001</v>
      </c>
      <c r="M124" s="49">
        <f t="shared" si="76"/>
        <v>1158000</v>
      </c>
      <c r="N124" s="50">
        <f t="shared" si="85"/>
        <v>4212001</v>
      </c>
      <c r="O124" s="50">
        <f t="shared" si="77"/>
        <v>4231500</v>
      </c>
      <c r="P124" s="47">
        <f t="shared" si="86"/>
        <v>13212001</v>
      </c>
      <c r="Q124" s="47">
        <f t="shared" si="78"/>
        <v>13267500</v>
      </c>
    </row>
    <row r="125" spans="1:17" s="3" customFormat="1" ht="30" customHeight="1">
      <c r="A125" s="17" t="s">
        <v>369</v>
      </c>
      <c r="B125" s="18" t="s">
        <v>370</v>
      </c>
      <c r="C125" s="14" t="s">
        <v>371</v>
      </c>
      <c r="D125" s="15" t="s">
        <v>8</v>
      </c>
      <c r="E125" s="16">
        <v>122</v>
      </c>
      <c r="F125" s="47">
        <f t="shared" si="79"/>
        <v>36301</v>
      </c>
      <c r="G125" s="47">
        <f t="shared" si="80"/>
        <v>36600</v>
      </c>
      <c r="H125" s="50">
        <f t="shared" si="81"/>
        <v>253501</v>
      </c>
      <c r="I125" s="50">
        <f t="shared" si="74"/>
        <v>255000</v>
      </c>
      <c r="J125" s="50">
        <f t="shared" si="82"/>
        <v>181501</v>
      </c>
      <c r="K125" s="50">
        <f t="shared" ref="K125" si="141">J125+1500-1</f>
        <v>183000</v>
      </c>
      <c r="L125" s="49">
        <f t="shared" si="84"/>
        <v>1158001</v>
      </c>
      <c r="M125" s="49">
        <f t="shared" si="76"/>
        <v>1164000</v>
      </c>
      <c r="N125" s="50">
        <f t="shared" si="85"/>
        <v>4231501</v>
      </c>
      <c r="O125" s="50">
        <f t="shared" si="77"/>
        <v>4251000</v>
      </c>
      <c r="P125" s="47">
        <f t="shared" si="86"/>
        <v>13267501</v>
      </c>
      <c r="Q125" s="47">
        <f t="shared" si="78"/>
        <v>13323000</v>
      </c>
    </row>
    <row r="126" spans="1:17" s="3" customFormat="1" ht="30" customHeight="1">
      <c r="A126" s="12" t="s">
        <v>372</v>
      </c>
      <c r="B126" s="18" t="s">
        <v>373</v>
      </c>
      <c r="C126" s="14" t="s">
        <v>374</v>
      </c>
      <c r="D126" s="15" t="s">
        <v>8</v>
      </c>
      <c r="E126" s="16">
        <v>123</v>
      </c>
      <c r="F126" s="47">
        <f t="shared" si="79"/>
        <v>36601</v>
      </c>
      <c r="G126" s="47">
        <f t="shared" si="80"/>
        <v>36900</v>
      </c>
      <c r="H126" s="50">
        <f t="shared" si="81"/>
        <v>255001</v>
      </c>
      <c r="I126" s="50">
        <f t="shared" si="74"/>
        <v>256500</v>
      </c>
      <c r="J126" s="50">
        <f t="shared" si="82"/>
        <v>183001</v>
      </c>
      <c r="K126" s="50">
        <f t="shared" ref="K126" si="142">J126+1500-1</f>
        <v>184500</v>
      </c>
      <c r="L126" s="49">
        <f t="shared" si="84"/>
        <v>1164001</v>
      </c>
      <c r="M126" s="49">
        <f t="shared" si="76"/>
        <v>1170000</v>
      </c>
      <c r="N126" s="50">
        <f t="shared" si="85"/>
        <v>4251001</v>
      </c>
      <c r="O126" s="50">
        <f t="shared" si="77"/>
        <v>4270500</v>
      </c>
      <c r="P126" s="47">
        <f t="shared" si="86"/>
        <v>13323001</v>
      </c>
      <c r="Q126" s="47">
        <f t="shared" si="78"/>
        <v>13378500</v>
      </c>
    </row>
    <row r="127" spans="1:17" s="3" customFormat="1" ht="30" customHeight="1">
      <c r="A127" s="12" t="s">
        <v>375</v>
      </c>
      <c r="B127" s="18" t="s">
        <v>376</v>
      </c>
      <c r="C127" s="14" t="s">
        <v>377</v>
      </c>
      <c r="D127" s="15" t="s">
        <v>8</v>
      </c>
      <c r="E127" s="16">
        <v>124</v>
      </c>
      <c r="F127" s="47">
        <f t="shared" si="79"/>
        <v>36901</v>
      </c>
      <c r="G127" s="47">
        <f t="shared" si="80"/>
        <v>37200</v>
      </c>
      <c r="H127" s="50">
        <f t="shared" si="81"/>
        <v>256501</v>
      </c>
      <c r="I127" s="50">
        <f t="shared" si="74"/>
        <v>258000</v>
      </c>
      <c r="J127" s="50">
        <f t="shared" si="82"/>
        <v>184501</v>
      </c>
      <c r="K127" s="50">
        <f t="shared" ref="K127" si="143">J127+1500-1</f>
        <v>186000</v>
      </c>
      <c r="L127" s="49">
        <f t="shared" si="84"/>
        <v>1170001</v>
      </c>
      <c r="M127" s="49">
        <f t="shared" si="76"/>
        <v>1176000</v>
      </c>
      <c r="N127" s="50">
        <f t="shared" si="85"/>
        <v>4270501</v>
      </c>
      <c r="O127" s="50">
        <f t="shared" si="77"/>
        <v>4290000</v>
      </c>
      <c r="P127" s="47">
        <f t="shared" si="86"/>
        <v>13378501</v>
      </c>
      <c r="Q127" s="47">
        <f t="shared" si="78"/>
        <v>13434000</v>
      </c>
    </row>
    <row r="128" spans="1:17" s="3" customFormat="1" ht="30" customHeight="1">
      <c r="A128" s="12" t="s">
        <v>378</v>
      </c>
      <c r="B128" s="18" t="s">
        <v>379</v>
      </c>
      <c r="C128" s="14" t="s">
        <v>380</v>
      </c>
      <c r="D128" s="15" t="s">
        <v>8</v>
      </c>
      <c r="E128" s="16">
        <v>125</v>
      </c>
      <c r="F128" s="47">
        <f t="shared" si="79"/>
        <v>37201</v>
      </c>
      <c r="G128" s="47">
        <f t="shared" si="80"/>
        <v>37500</v>
      </c>
      <c r="H128" s="50">
        <f t="shared" si="81"/>
        <v>258001</v>
      </c>
      <c r="I128" s="50">
        <f t="shared" si="74"/>
        <v>259500</v>
      </c>
      <c r="J128" s="50">
        <f t="shared" si="82"/>
        <v>186001</v>
      </c>
      <c r="K128" s="50">
        <f t="shared" ref="K128" si="144">J128+1500-1</f>
        <v>187500</v>
      </c>
      <c r="L128" s="49">
        <f t="shared" si="84"/>
        <v>1176001</v>
      </c>
      <c r="M128" s="49">
        <f t="shared" si="76"/>
        <v>1182000</v>
      </c>
      <c r="N128" s="50">
        <f t="shared" si="85"/>
        <v>4290001</v>
      </c>
      <c r="O128" s="50">
        <f t="shared" si="77"/>
        <v>4309500</v>
      </c>
      <c r="P128" s="47">
        <f t="shared" si="86"/>
        <v>13434001</v>
      </c>
      <c r="Q128" s="47">
        <f t="shared" si="78"/>
        <v>13489500</v>
      </c>
    </row>
    <row r="129" spans="1:17" s="3" customFormat="1" ht="30" customHeight="1">
      <c r="A129" s="12" t="s">
        <v>381</v>
      </c>
      <c r="B129" s="18" t="s">
        <v>382</v>
      </c>
      <c r="C129" s="14" t="s">
        <v>383</v>
      </c>
      <c r="D129" s="15" t="s">
        <v>8</v>
      </c>
      <c r="E129" s="16">
        <v>126</v>
      </c>
      <c r="F129" s="47">
        <f t="shared" si="79"/>
        <v>37501</v>
      </c>
      <c r="G129" s="47">
        <f t="shared" si="80"/>
        <v>37800</v>
      </c>
      <c r="H129" s="50">
        <f t="shared" si="81"/>
        <v>259501</v>
      </c>
      <c r="I129" s="50">
        <f t="shared" si="74"/>
        <v>261000</v>
      </c>
      <c r="J129" s="50">
        <f t="shared" si="82"/>
        <v>187501</v>
      </c>
      <c r="K129" s="50">
        <f t="shared" ref="K129" si="145">J129+1500-1</f>
        <v>189000</v>
      </c>
      <c r="L129" s="49">
        <f t="shared" si="84"/>
        <v>1182001</v>
      </c>
      <c r="M129" s="49">
        <f t="shared" si="76"/>
        <v>1188000</v>
      </c>
      <c r="N129" s="50">
        <f t="shared" si="85"/>
        <v>4309501</v>
      </c>
      <c r="O129" s="50">
        <f t="shared" si="77"/>
        <v>4329000</v>
      </c>
      <c r="P129" s="47">
        <f t="shared" si="86"/>
        <v>13489501</v>
      </c>
      <c r="Q129" s="47">
        <f t="shared" si="78"/>
        <v>13545000</v>
      </c>
    </row>
    <row r="130" spans="1:17" s="3" customFormat="1" ht="30" customHeight="1">
      <c r="A130" s="17" t="s">
        <v>384</v>
      </c>
      <c r="B130" s="18" t="s">
        <v>385</v>
      </c>
      <c r="C130" s="14" t="s">
        <v>386</v>
      </c>
      <c r="D130" s="15" t="s">
        <v>8</v>
      </c>
      <c r="E130" s="16">
        <v>127</v>
      </c>
      <c r="F130" s="47">
        <f t="shared" si="79"/>
        <v>37801</v>
      </c>
      <c r="G130" s="47">
        <f t="shared" si="80"/>
        <v>38100</v>
      </c>
      <c r="H130" s="50">
        <f t="shared" si="81"/>
        <v>261001</v>
      </c>
      <c r="I130" s="50">
        <f t="shared" si="74"/>
        <v>262500</v>
      </c>
      <c r="J130" s="50">
        <f t="shared" si="82"/>
        <v>189001</v>
      </c>
      <c r="K130" s="50">
        <f t="shared" ref="K130" si="146">J130+1500-1</f>
        <v>190500</v>
      </c>
      <c r="L130" s="49">
        <f t="shared" si="84"/>
        <v>1188001</v>
      </c>
      <c r="M130" s="49">
        <f t="shared" si="76"/>
        <v>1194000</v>
      </c>
      <c r="N130" s="50">
        <f t="shared" si="85"/>
        <v>4329001</v>
      </c>
      <c r="O130" s="50">
        <f t="shared" si="77"/>
        <v>4348500</v>
      </c>
      <c r="P130" s="47">
        <f t="shared" si="86"/>
        <v>13545001</v>
      </c>
      <c r="Q130" s="47">
        <f t="shared" si="78"/>
        <v>13600500</v>
      </c>
    </row>
    <row r="131" spans="1:17" s="3" customFormat="1" ht="30" customHeight="1">
      <c r="A131" s="17" t="s">
        <v>387</v>
      </c>
      <c r="B131" s="18" t="s">
        <v>388</v>
      </c>
      <c r="C131" s="14" t="s">
        <v>389</v>
      </c>
      <c r="D131" s="15" t="s">
        <v>8</v>
      </c>
      <c r="E131" s="16">
        <v>128</v>
      </c>
      <c r="F131" s="47">
        <f t="shared" si="79"/>
        <v>38101</v>
      </c>
      <c r="G131" s="47">
        <f t="shared" si="80"/>
        <v>38400</v>
      </c>
      <c r="H131" s="50">
        <f t="shared" si="81"/>
        <v>262501</v>
      </c>
      <c r="I131" s="50">
        <f t="shared" si="74"/>
        <v>264000</v>
      </c>
      <c r="J131" s="50">
        <f t="shared" si="82"/>
        <v>190501</v>
      </c>
      <c r="K131" s="50">
        <f t="shared" ref="K131" si="147">J131+1500-1</f>
        <v>192000</v>
      </c>
      <c r="L131" s="49">
        <f t="shared" si="84"/>
        <v>1194001</v>
      </c>
      <c r="M131" s="49">
        <f t="shared" si="76"/>
        <v>1200000</v>
      </c>
      <c r="N131" s="50">
        <f t="shared" si="85"/>
        <v>4348501</v>
      </c>
      <c r="O131" s="50">
        <f t="shared" si="77"/>
        <v>4368000</v>
      </c>
      <c r="P131" s="47">
        <f t="shared" si="86"/>
        <v>13600501</v>
      </c>
      <c r="Q131" s="47">
        <f t="shared" si="78"/>
        <v>13656000</v>
      </c>
    </row>
    <row r="132" spans="1:17" s="3" customFormat="1" ht="30" customHeight="1">
      <c r="A132" s="12" t="s">
        <v>390</v>
      </c>
      <c r="B132" s="18" t="s">
        <v>391</v>
      </c>
      <c r="C132" s="14" t="s">
        <v>392</v>
      </c>
      <c r="D132" s="15" t="s">
        <v>8</v>
      </c>
      <c r="E132" s="16">
        <v>129</v>
      </c>
      <c r="F132" s="47">
        <f t="shared" si="79"/>
        <v>38401</v>
      </c>
      <c r="G132" s="47">
        <f t="shared" si="80"/>
        <v>38700</v>
      </c>
      <c r="H132" s="50">
        <f t="shared" si="81"/>
        <v>264001</v>
      </c>
      <c r="I132" s="50">
        <f t="shared" si="74"/>
        <v>265500</v>
      </c>
      <c r="J132" s="50">
        <f t="shared" si="82"/>
        <v>192001</v>
      </c>
      <c r="K132" s="50">
        <f t="shared" ref="K132" si="148">J132+1500-1</f>
        <v>193500</v>
      </c>
      <c r="L132" s="49">
        <f t="shared" si="84"/>
        <v>1200001</v>
      </c>
      <c r="M132" s="49">
        <f t="shared" si="76"/>
        <v>1206000</v>
      </c>
      <c r="N132" s="50">
        <f t="shared" si="85"/>
        <v>4368001</v>
      </c>
      <c r="O132" s="50">
        <f t="shared" si="77"/>
        <v>4387500</v>
      </c>
      <c r="P132" s="52">
        <f t="shared" si="86"/>
        <v>13656001</v>
      </c>
      <c r="Q132" s="52">
        <f t="shared" si="78"/>
        <v>13711500</v>
      </c>
    </row>
    <row r="133" spans="1:17" s="3" customFormat="1" ht="30" customHeight="1">
      <c r="A133" s="12" t="s">
        <v>393</v>
      </c>
      <c r="B133" s="18" t="s">
        <v>394</v>
      </c>
      <c r="C133" s="14" t="s">
        <v>395</v>
      </c>
      <c r="D133" s="15" t="s">
        <v>8</v>
      </c>
      <c r="E133" s="16">
        <v>130</v>
      </c>
      <c r="F133" s="47">
        <f t="shared" si="79"/>
        <v>38701</v>
      </c>
      <c r="G133" s="47">
        <f t="shared" si="80"/>
        <v>39000</v>
      </c>
      <c r="H133" s="50">
        <f t="shared" si="81"/>
        <v>265501</v>
      </c>
      <c r="I133" s="50">
        <f t="shared" ref="I133:I196" si="149">H133+1500-1</f>
        <v>267000</v>
      </c>
      <c r="J133" s="50">
        <f t="shared" si="82"/>
        <v>193501</v>
      </c>
      <c r="K133" s="50">
        <f t="shared" ref="K133" si="150">J133+1500-1</f>
        <v>195000</v>
      </c>
      <c r="L133" s="49">
        <f t="shared" si="84"/>
        <v>1206001</v>
      </c>
      <c r="M133" s="49">
        <f t="shared" ref="M133:M196" si="151">L133+6000-1</f>
        <v>1212000</v>
      </c>
      <c r="N133" s="50">
        <f t="shared" si="85"/>
        <v>4387501</v>
      </c>
      <c r="O133" s="50">
        <f t="shared" ref="O133:O196" si="152">N133+19500-1</f>
        <v>4407000</v>
      </c>
      <c r="P133" s="52">
        <f t="shared" si="86"/>
        <v>13711501</v>
      </c>
      <c r="Q133" s="52">
        <f t="shared" ref="Q133:Q196" si="153">P133+55500-1</f>
        <v>13767000</v>
      </c>
    </row>
    <row r="134" spans="1:17" s="3" customFormat="1" ht="30" customHeight="1">
      <c r="A134" s="12" t="s">
        <v>396</v>
      </c>
      <c r="B134" s="18" t="s">
        <v>397</v>
      </c>
      <c r="C134" s="14" t="s">
        <v>398</v>
      </c>
      <c r="D134" s="15" t="s">
        <v>8</v>
      </c>
      <c r="E134" s="16">
        <v>131</v>
      </c>
      <c r="F134" s="47">
        <f t="shared" ref="F134:F197" si="154">G133+1</f>
        <v>39001</v>
      </c>
      <c r="G134" s="47">
        <f t="shared" ref="G134:G197" si="155">F134+300-1</f>
        <v>39300</v>
      </c>
      <c r="H134" s="50">
        <f t="shared" ref="H134:H197" si="156">I133+1</f>
        <v>267001</v>
      </c>
      <c r="I134" s="50">
        <f t="shared" si="149"/>
        <v>268500</v>
      </c>
      <c r="J134" s="50">
        <f t="shared" ref="J134:J197" si="157">K133+1</f>
        <v>195001</v>
      </c>
      <c r="K134" s="50">
        <f t="shared" ref="K134" si="158">J134+1500-1</f>
        <v>196500</v>
      </c>
      <c r="L134" s="49">
        <f t="shared" ref="L134:L197" si="159">M133+1</f>
        <v>1212001</v>
      </c>
      <c r="M134" s="49">
        <f t="shared" si="151"/>
        <v>1218000</v>
      </c>
      <c r="N134" s="50">
        <f t="shared" ref="N134:N197" si="160">O133+1</f>
        <v>4407001</v>
      </c>
      <c r="O134" s="50">
        <f t="shared" si="152"/>
        <v>4426500</v>
      </c>
      <c r="P134" s="52">
        <f t="shared" ref="P134:P197" si="161">Q133+1</f>
        <v>13767001</v>
      </c>
      <c r="Q134" s="52">
        <f t="shared" si="153"/>
        <v>13822500</v>
      </c>
    </row>
    <row r="135" spans="1:17" s="3" customFormat="1" ht="30" customHeight="1">
      <c r="A135" s="12" t="s">
        <v>399</v>
      </c>
      <c r="B135" s="18" t="s">
        <v>400</v>
      </c>
      <c r="C135" s="14" t="s">
        <v>401</v>
      </c>
      <c r="D135" s="15" t="s">
        <v>8</v>
      </c>
      <c r="E135" s="16">
        <v>132</v>
      </c>
      <c r="F135" s="47">
        <f t="shared" si="154"/>
        <v>39301</v>
      </c>
      <c r="G135" s="47">
        <f t="shared" si="155"/>
        <v>39600</v>
      </c>
      <c r="H135" s="50">
        <f t="shared" si="156"/>
        <v>268501</v>
      </c>
      <c r="I135" s="50">
        <f t="shared" si="149"/>
        <v>270000</v>
      </c>
      <c r="J135" s="50">
        <f t="shared" si="157"/>
        <v>196501</v>
      </c>
      <c r="K135" s="50">
        <f t="shared" ref="K135" si="162">J135+1500-1</f>
        <v>198000</v>
      </c>
      <c r="L135" s="49">
        <f t="shared" si="159"/>
        <v>1218001</v>
      </c>
      <c r="M135" s="49">
        <f t="shared" si="151"/>
        <v>1224000</v>
      </c>
      <c r="N135" s="50">
        <f t="shared" si="160"/>
        <v>4426501</v>
      </c>
      <c r="O135" s="50">
        <f t="shared" si="152"/>
        <v>4446000</v>
      </c>
      <c r="P135" s="52">
        <f t="shared" si="161"/>
        <v>13822501</v>
      </c>
      <c r="Q135" s="52">
        <f t="shared" si="153"/>
        <v>13878000</v>
      </c>
    </row>
    <row r="136" spans="1:17" s="3" customFormat="1" ht="30" customHeight="1">
      <c r="A136" s="19" t="s">
        <v>402</v>
      </c>
      <c r="B136" s="18" t="s">
        <v>403</v>
      </c>
      <c r="C136" s="14" t="s">
        <v>404</v>
      </c>
      <c r="D136" s="15" t="s">
        <v>8</v>
      </c>
      <c r="E136" s="16">
        <v>133</v>
      </c>
      <c r="F136" s="47">
        <f t="shared" si="154"/>
        <v>39601</v>
      </c>
      <c r="G136" s="47">
        <f t="shared" si="155"/>
        <v>39900</v>
      </c>
      <c r="H136" s="50">
        <f t="shared" si="156"/>
        <v>270001</v>
      </c>
      <c r="I136" s="50">
        <f t="shared" si="149"/>
        <v>271500</v>
      </c>
      <c r="J136" s="50">
        <f t="shared" si="157"/>
        <v>198001</v>
      </c>
      <c r="K136" s="50">
        <f t="shared" ref="K136" si="163">J136+1500-1</f>
        <v>199500</v>
      </c>
      <c r="L136" s="49">
        <f t="shared" si="159"/>
        <v>1224001</v>
      </c>
      <c r="M136" s="49">
        <f t="shared" si="151"/>
        <v>1230000</v>
      </c>
      <c r="N136" s="50">
        <f t="shared" si="160"/>
        <v>4446001</v>
      </c>
      <c r="O136" s="50">
        <f t="shared" si="152"/>
        <v>4465500</v>
      </c>
      <c r="P136" s="52">
        <f t="shared" si="161"/>
        <v>13878001</v>
      </c>
      <c r="Q136" s="52">
        <f t="shared" si="153"/>
        <v>13933500</v>
      </c>
    </row>
    <row r="137" spans="1:17" s="3" customFormat="1" ht="30" customHeight="1">
      <c r="A137" s="19" t="s">
        <v>405</v>
      </c>
      <c r="B137" s="18" t="s">
        <v>406</v>
      </c>
      <c r="C137" s="14" t="s">
        <v>407</v>
      </c>
      <c r="D137" s="15" t="s">
        <v>8</v>
      </c>
      <c r="E137" s="16">
        <v>134</v>
      </c>
      <c r="F137" s="47">
        <f t="shared" si="154"/>
        <v>39901</v>
      </c>
      <c r="G137" s="47">
        <f t="shared" si="155"/>
        <v>40200</v>
      </c>
      <c r="H137" s="50">
        <f t="shared" si="156"/>
        <v>271501</v>
      </c>
      <c r="I137" s="50">
        <f t="shared" si="149"/>
        <v>273000</v>
      </c>
      <c r="J137" s="50">
        <f t="shared" si="157"/>
        <v>199501</v>
      </c>
      <c r="K137" s="50">
        <f t="shared" ref="K137" si="164">J137+1500-1</f>
        <v>201000</v>
      </c>
      <c r="L137" s="49">
        <f t="shared" si="159"/>
        <v>1230001</v>
      </c>
      <c r="M137" s="49">
        <f t="shared" si="151"/>
        <v>1236000</v>
      </c>
      <c r="N137" s="50">
        <f t="shared" si="160"/>
        <v>4465501</v>
      </c>
      <c r="O137" s="50">
        <f t="shared" si="152"/>
        <v>4485000</v>
      </c>
      <c r="P137" s="52">
        <f t="shared" si="161"/>
        <v>13933501</v>
      </c>
      <c r="Q137" s="52">
        <f t="shared" si="153"/>
        <v>13989000</v>
      </c>
    </row>
    <row r="138" spans="1:17" s="3" customFormat="1" ht="30" customHeight="1">
      <c r="A138" s="19" t="s">
        <v>408</v>
      </c>
      <c r="B138" s="18" t="s">
        <v>409</v>
      </c>
      <c r="C138" s="14" t="s">
        <v>410</v>
      </c>
      <c r="D138" s="15" t="s">
        <v>8</v>
      </c>
      <c r="E138" s="16">
        <v>135</v>
      </c>
      <c r="F138" s="47">
        <f t="shared" si="154"/>
        <v>40201</v>
      </c>
      <c r="G138" s="47">
        <f t="shared" si="155"/>
        <v>40500</v>
      </c>
      <c r="H138" s="50">
        <f t="shared" si="156"/>
        <v>273001</v>
      </c>
      <c r="I138" s="50">
        <f t="shared" si="149"/>
        <v>274500</v>
      </c>
      <c r="J138" s="50">
        <f t="shared" si="157"/>
        <v>201001</v>
      </c>
      <c r="K138" s="50">
        <f t="shared" ref="K138" si="165">J138+1500-1</f>
        <v>202500</v>
      </c>
      <c r="L138" s="49">
        <f t="shared" si="159"/>
        <v>1236001</v>
      </c>
      <c r="M138" s="49">
        <f t="shared" si="151"/>
        <v>1242000</v>
      </c>
      <c r="N138" s="50">
        <f t="shared" si="160"/>
        <v>4485001</v>
      </c>
      <c r="O138" s="50">
        <f t="shared" si="152"/>
        <v>4504500</v>
      </c>
      <c r="P138" s="52">
        <f t="shared" si="161"/>
        <v>13989001</v>
      </c>
      <c r="Q138" s="52">
        <f t="shared" si="153"/>
        <v>14044500</v>
      </c>
    </row>
    <row r="139" spans="1:17" s="3" customFormat="1" ht="30" customHeight="1">
      <c r="A139" s="19" t="s">
        <v>411</v>
      </c>
      <c r="B139" s="18" t="s">
        <v>412</v>
      </c>
      <c r="C139" s="14" t="s">
        <v>413</v>
      </c>
      <c r="D139" s="15" t="s">
        <v>8</v>
      </c>
      <c r="E139" s="16">
        <v>136</v>
      </c>
      <c r="F139" s="47">
        <f t="shared" si="154"/>
        <v>40501</v>
      </c>
      <c r="G139" s="47">
        <f t="shared" si="155"/>
        <v>40800</v>
      </c>
      <c r="H139" s="50">
        <f t="shared" si="156"/>
        <v>274501</v>
      </c>
      <c r="I139" s="50">
        <f t="shared" si="149"/>
        <v>276000</v>
      </c>
      <c r="J139" s="50">
        <f t="shared" si="157"/>
        <v>202501</v>
      </c>
      <c r="K139" s="50">
        <f t="shared" ref="K139" si="166">J139+1500-1</f>
        <v>204000</v>
      </c>
      <c r="L139" s="49">
        <f t="shared" si="159"/>
        <v>1242001</v>
      </c>
      <c r="M139" s="49">
        <f t="shared" si="151"/>
        <v>1248000</v>
      </c>
      <c r="N139" s="50">
        <f t="shared" si="160"/>
        <v>4504501</v>
      </c>
      <c r="O139" s="50">
        <f t="shared" si="152"/>
        <v>4524000</v>
      </c>
      <c r="P139" s="52">
        <f t="shared" si="161"/>
        <v>14044501</v>
      </c>
      <c r="Q139" s="52">
        <f t="shared" si="153"/>
        <v>14100000</v>
      </c>
    </row>
    <row r="140" spans="1:17" s="3" customFormat="1" ht="30" customHeight="1">
      <c r="A140" s="12" t="s">
        <v>414</v>
      </c>
      <c r="B140" s="18" t="s">
        <v>415</v>
      </c>
      <c r="C140" s="14" t="s">
        <v>416</v>
      </c>
      <c r="D140" s="15" t="s">
        <v>8</v>
      </c>
      <c r="E140" s="16">
        <v>137</v>
      </c>
      <c r="F140" s="47">
        <f t="shared" si="154"/>
        <v>40801</v>
      </c>
      <c r="G140" s="47">
        <f t="shared" si="155"/>
        <v>41100</v>
      </c>
      <c r="H140" s="50">
        <f t="shared" si="156"/>
        <v>276001</v>
      </c>
      <c r="I140" s="50">
        <f t="shared" si="149"/>
        <v>277500</v>
      </c>
      <c r="J140" s="50">
        <f t="shared" si="157"/>
        <v>204001</v>
      </c>
      <c r="K140" s="50">
        <f t="shared" ref="K140" si="167">J140+1500-1</f>
        <v>205500</v>
      </c>
      <c r="L140" s="49">
        <f t="shared" si="159"/>
        <v>1248001</v>
      </c>
      <c r="M140" s="49">
        <f t="shared" si="151"/>
        <v>1254000</v>
      </c>
      <c r="N140" s="50">
        <f t="shared" si="160"/>
        <v>4524001</v>
      </c>
      <c r="O140" s="50">
        <f t="shared" si="152"/>
        <v>4543500</v>
      </c>
      <c r="P140" s="47">
        <f t="shared" si="161"/>
        <v>14100001</v>
      </c>
      <c r="Q140" s="47">
        <f t="shared" si="153"/>
        <v>14155500</v>
      </c>
    </row>
    <row r="141" spans="1:17" s="3" customFormat="1" ht="30" customHeight="1">
      <c r="A141" s="17" t="s">
        <v>417</v>
      </c>
      <c r="B141" s="18" t="s">
        <v>418</v>
      </c>
      <c r="C141" s="14" t="s">
        <v>419</v>
      </c>
      <c r="D141" s="15" t="s">
        <v>8</v>
      </c>
      <c r="E141" s="16">
        <v>138</v>
      </c>
      <c r="F141" s="47">
        <f t="shared" si="154"/>
        <v>41101</v>
      </c>
      <c r="G141" s="47">
        <f t="shared" si="155"/>
        <v>41400</v>
      </c>
      <c r="H141" s="50">
        <f t="shared" si="156"/>
        <v>277501</v>
      </c>
      <c r="I141" s="50">
        <f t="shared" si="149"/>
        <v>279000</v>
      </c>
      <c r="J141" s="50">
        <f t="shared" si="157"/>
        <v>205501</v>
      </c>
      <c r="K141" s="50">
        <f t="shared" ref="K141" si="168">J141+1500-1</f>
        <v>207000</v>
      </c>
      <c r="L141" s="49">
        <f t="shared" si="159"/>
        <v>1254001</v>
      </c>
      <c r="M141" s="49">
        <f t="shared" si="151"/>
        <v>1260000</v>
      </c>
      <c r="N141" s="50">
        <f t="shared" si="160"/>
        <v>4543501</v>
      </c>
      <c r="O141" s="50">
        <f t="shared" si="152"/>
        <v>4563000</v>
      </c>
      <c r="P141" s="47">
        <f t="shared" si="161"/>
        <v>14155501</v>
      </c>
      <c r="Q141" s="47">
        <f t="shared" si="153"/>
        <v>14211000</v>
      </c>
    </row>
    <row r="142" spans="1:17" s="3" customFormat="1" ht="30" customHeight="1">
      <c r="A142" s="17" t="s">
        <v>420</v>
      </c>
      <c r="B142" s="18" t="s">
        <v>421</v>
      </c>
      <c r="C142" s="14" t="s">
        <v>422</v>
      </c>
      <c r="D142" s="15" t="s">
        <v>8</v>
      </c>
      <c r="E142" s="16">
        <v>139</v>
      </c>
      <c r="F142" s="47">
        <f t="shared" si="154"/>
        <v>41401</v>
      </c>
      <c r="G142" s="47">
        <f t="shared" si="155"/>
        <v>41700</v>
      </c>
      <c r="H142" s="50">
        <f t="shared" si="156"/>
        <v>279001</v>
      </c>
      <c r="I142" s="50">
        <f t="shared" si="149"/>
        <v>280500</v>
      </c>
      <c r="J142" s="50">
        <f t="shared" si="157"/>
        <v>207001</v>
      </c>
      <c r="K142" s="50">
        <f t="shared" ref="K142" si="169">J142+1500-1</f>
        <v>208500</v>
      </c>
      <c r="L142" s="49">
        <f t="shared" si="159"/>
        <v>1260001</v>
      </c>
      <c r="M142" s="49">
        <f t="shared" si="151"/>
        <v>1266000</v>
      </c>
      <c r="N142" s="50">
        <f t="shared" si="160"/>
        <v>4563001</v>
      </c>
      <c r="O142" s="50">
        <f t="shared" si="152"/>
        <v>4582500</v>
      </c>
      <c r="P142" s="47">
        <f t="shared" si="161"/>
        <v>14211001</v>
      </c>
      <c r="Q142" s="47">
        <f t="shared" si="153"/>
        <v>14266500</v>
      </c>
    </row>
    <row r="143" spans="1:17" s="3" customFormat="1" ht="30" customHeight="1">
      <c r="A143" s="17" t="s">
        <v>423</v>
      </c>
      <c r="B143" s="18" t="s">
        <v>424</v>
      </c>
      <c r="C143" s="14" t="s">
        <v>425</v>
      </c>
      <c r="D143" s="15" t="s">
        <v>8</v>
      </c>
      <c r="E143" s="16">
        <v>140</v>
      </c>
      <c r="F143" s="47">
        <f t="shared" si="154"/>
        <v>41701</v>
      </c>
      <c r="G143" s="47">
        <f t="shared" si="155"/>
        <v>42000</v>
      </c>
      <c r="H143" s="50">
        <f t="shared" si="156"/>
        <v>280501</v>
      </c>
      <c r="I143" s="50">
        <f t="shared" si="149"/>
        <v>282000</v>
      </c>
      <c r="J143" s="50">
        <f t="shared" si="157"/>
        <v>208501</v>
      </c>
      <c r="K143" s="50">
        <f t="shared" ref="K143" si="170">J143+1500-1</f>
        <v>210000</v>
      </c>
      <c r="L143" s="49">
        <f t="shared" si="159"/>
        <v>1266001</v>
      </c>
      <c r="M143" s="49">
        <f t="shared" si="151"/>
        <v>1272000</v>
      </c>
      <c r="N143" s="50">
        <f t="shared" si="160"/>
        <v>4582501</v>
      </c>
      <c r="O143" s="50">
        <f t="shared" si="152"/>
        <v>4602000</v>
      </c>
      <c r="P143" s="47">
        <f t="shared" si="161"/>
        <v>14266501</v>
      </c>
      <c r="Q143" s="47">
        <f t="shared" si="153"/>
        <v>14322000</v>
      </c>
    </row>
    <row r="144" spans="1:17" s="3" customFormat="1" ht="30" customHeight="1">
      <c r="A144" s="17" t="s">
        <v>426</v>
      </c>
      <c r="B144" s="18" t="s">
        <v>427</v>
      </c>
      <c r="C144" s="14" t="s">
        <v>428</v>
      </c>
      <c r="D144" s="15" t="s">
        <v>8</v>
      </c>
      <c r="E144" s="16">
        <v>141</v>
      </c>
      <c r="F144" s="47">
        <f t="shared" si="154"/>
        <v>42001</v>
      </c>
      <c r="G144" s="47">
        <f t="shared" si="155"/>
        <v>42300</v>
      </c>
      <c r="H144" s="50">
        <f t="shared" si="156"/>
        <v>282001</v>
      </c>
      <c r="I144" s="50">
        <f t="shared" si="149"/>
        <v>283500</v>
      </c>
      <c r="J144" s="50">
        <f t="shared" si="157"/>
        <v>210001</v>
      </c>
      <c r="K144" s="50">
        <f t="shared" ref="K144" si="171">J144+1500-1</f>
        <v>211500</v>
      </c>
      <c r="L144" s="49">
        <f t="shared" si="159"/>
        <v>1272001</v>
      </c>
      <c r="M144" s="49">
        <f t="shared" si="151"/>
        <v>1278000</v>
      </c>
      <c r="N144" s="50">
        <f t="shared" si="160"/>
        <v>4602001</v>
      </c>
      <c r="O144" s="50">
        <f t="shared" si="152"/>
        <v>4621500</v>
      </c>
      <c r="P144" s="47">
        <f t="shared" si="161"/>
        <v>14322001</v>
      </c>
      <c r="Q144" s="47">
        <f t="shared" si="153"/>
        <v>14377500</v>
      </c>
    </row>
    <row r="145" spans="1:17" s="3" customFormat="1" ht="30" customHeight="1">
      <c r="A145" s="12" t="s">
        <v>429</v>
      </c>
      <c r="B145" s="18" t="s">
        <v>430</v>
      </c>
      <c r="C145" s="14" t="s">
        <v>431</v>
      </c>
      <c r="D145" s="15" t="s">
        <v>8</v>
      </c>
      <c r="E145" s="16">
        <v>142</v>
      </c>
      <c r="F145" s="47">
        <f t="shared" si="154"/>
        <v>42301</v>
      </c>
      <c r="G145" s="47">
        <f t="shared" si="155"/>
        <v>42600</v>
      </c>
      <c r="H145" s="50">
        <f t="shared" si="156"/>
        <v>283501</v>
      </c>
      <c r="I145" s="50">
        <f t="shared" si="149"/>
        <v>285000</v>
      </c>
      <c r="J145" s="50">
        <f t="shared" si="157"/>
        <v>211501</v>
      </c>
      <c r="K145" s="50">
        <f t="shared" ref="K145" si="172">J145+1500-1</f>
        <v>213000</v>
      </c>
      <c r="L145" s="49">
        <f t="shared" si="159"/>
        <v>1278001</v>
      </c>
      <c r="M145" s="49">
        <f t="shared" si="151"/>
        <v>1284000</v>
      </c>
      <c r="N145" s="50">
        <f t="shared" si="160"/>
        <v>4621501</v>
      </c>
      <c r="O145" s="50">
        <f t="shared" si="152"/>
        <v>4641000</v>
      </c>
      <c r="P145" s="47">
        <f t="shared" si="161"/>
        <v>14377501</v>
      </c>
      <c r="Q145" s="47">
        <f t="shared" si="153"/>
        <v>14433000</v>
      </c>
    </row>
    <row r="146" spans="1:17" s="3" customFormat="1" ht="30" customHeight="1">
      <c r="A146" s="12" t="s">
        <v>432</v>
      </c>
      <c r="B146" s="18" t="s">
        <v>433</v>
      </c>
      <c r="C146" s="14" t="s">
        <v>434</v>
      </c>
      <c r="D146" s="15" t="s">
        <v>8</v>
      </c>
      <c r="E146" s="16">
        <v>143</v>
      </c>
      <c r="F146" s="47">
        <f t="shared" si="154"/>
        <v>42601</v>
      </c>
      <c r="G146" s="47">
        <f t="shared" si="155"/>
        <v>42900</v>
      </c>
      <c r="H146" s="50">
        <f t="shared" si="156"/>
        <v>285001</v>
      </c>
      <c r="I146" s="50">
        <f t="shared" si="149"/>
        <v>286500</v>
      </c>
      <c r="J146" s="50">
        <f t="shared" si="157"/>
        <v>213001</v>
      </c>
      <c r="K146" s="50">
        <f t="shared" ref="K146" si="173">J146+1500-1</f>
        <v>214500</v>
      </c>
      <c r="L146" s="49">
        <f t="shared" si="159"/>
        <v>1284001</v>
      </c>
      <c r="M146" s="49">
        <f t="shared" si="151"/>
        <v>1290000</v>
      </c>
      <c r="N146" s="50">
        <f t="shared" si="160"/>
        <v>4641001</v>
      </c>
      <c r="O146" s="50">
        <f t="shared" si="152"/>
        <v>4660500</v>
      </c>
      <c r="P146" s="47">
        <f t="shared" si="161"/>
        <v>14433001</v>
      </c>
      <c r="Q146" s="47">
        <f t="shared" si="153"/>
        <v>14488500</v>
      </c>
    </row>
    <row r="147" spans="1:17" s="3" customFormat="1" ht="30" customHeight="1">
      <c r="A147" s="20" t="s">
        <v>435</v>
      </c>
      <c r="B147" s="21" t="s">
        <v>436</v>
      </c>
      <c r="C147" s="22" t="s">
        <v>437</v>
      </c>
      <c r="D147" s="23" t="s">
        <v>438</v>
      </c>
      <c r="E147" s="16">
        <v>144</v>
      </c>
      <c r="F147" s="47">
        <f t="shared" si="154"/>
        <v>42901</v>
      </c>
      <c r="G147" s="47">
        <f t="shared" si="155"/>
        <v>43200</v>
      </c>
      <c r="H147" s="50">
        <f t="shared" si="156"/>
        <v>286501</v>
      </c>
      <c r="I147" s="50">
        <f t="shared" si="149"/>
        <v>288000</v>
      </c>
      <c r="J147" s="50">
        <f t="shared" si="157"/>
        <v>214501</v>
      </c>
      <c r="K147" s="67">
        <f t="shared" ref="K147" si="174">J147+1500-1</f>
        <v>216000</v>
      </c>
      <c r="L147" s="49">
        <f t="shared" si="159"/>
        <v>1290001</v>
      </c>
      <c r="M147" s="49">
        <f t="shared" si="151"/>
        <v>1296000</v>
      </c>
      <c r="N147" s="50">
        <f t="shared" si="160"/>
        <v>4660501</v>
      </c>
      <c r="O147" s="50">
        <f t="shared" si="152"/>
        <v>4680000</v>
      </c>
      <c r="P147" s="47">
        <f t="shared" si="161"/>
        <v>14488501</v>
      </c>
      <c r="Q147" s="47">
        <f t="shared" si="153"/>
        <v>14544000</v>
      </c>
    </row>
    <row r="148" spans="1:17" s="1" customFormat="1" ht="30" customHeight="1">
      <c r="A148" s="20" t="s">
        <v>439</v>
      </c>
      <c r="B148" s="21" t="s">
        <v>440</v>
      </c>
      <c r="C148" s="22" t="s">
        <v>441</v>
      </c>
      <c r="D148" s="23" t="s">
        <v>438</v>
      </c>
      <c r="E148" s="16">
        <v>145</v>
      </c>
      <c r="F148" s="47">
        <f t="shared" si="154"/>
        <v>43201</v>
      </c>
      <c r="G148" s="47">
        <f t="shared" si="155"/>
        <v>43500</v>
      </c>
      <c r="H148" s="50">
        <f t="shared" si="156"/>
        <v>288001</v>
      </c>
      <c r="I148" s="50">
        <f t="shared" si="149"/>
        <v>289500</v>
      </c>
      <c r="J148" s="67">
        <f t="shared" si="157"/>
        <v>216001</v>
      </c>
      <c r="K148" s="50">
        <f t="shared" ref="K148" si="175">J148+1500-1</f>
        <v>217500</v>
      </c>
      <c r="L148" s="50">
        <f t="shared" si="159"/>
        <v>1296001</v>
      </c>
      <c r="M148" s="50">
        <f t="shared" si="151"/>
        <v>1302000</v>
      </c>
      <c r="N148" s="50">
        <f t="shared" si="160"/>
        <v>4680001</v>
      </c>
      <c r="O148" s="50">
        <f t="shared" si="152"/>
        <v>4699500</v>
      </c>
      <c r="P148" s="52">
        <f t="shared" si="161"/>
        <v>14544001</v>
      </c>
      <c r="Q148" s="52">
        <f t="shared" si="153"/>
        <v>14599500</v>
      </c>
    </row>
    <row r="149" spans="1:17" s="1" customFormat="1" ht="30" customHeight="1">
      <c r="A149" s="20" t="s">
        <v>442</v>
      </c>
      <c r="B149" s="21" t="s">
        <v>443</v>
      </c>
      <c r="C149" s="22" t="s">
        <v>444</v>
      </c>
      <c r="D149" s="23" t="s">
        <v>438</v>
      </c>
      <c r="E149" s="16">
        <v>146</v>
      </c>
      <c r="F149" s="47">
        <f t="shared" si="154"/>
        <v>43501</v>
      </c>
      <c r="G149" s="47">
        <f t="shared" si="155"/>
        <v>43800</v>
      </c>
      <c r="H149" s="50">
        <f t="shared" si="156"/>
        <v>289501</v>
      </c>
      <c r="I149" s="50">
        <f t="shared" si="149"/>
        <v>291000</v>
      </c>
      <c r="J149" s="50">
        <f t="shared" si="157"/>
        <v>217501</v>
      </c>
      <c r="K149" s="50">
        <f t="shared" ref="K149" si="176">J149+1500-1</f>
        <v>219000</v>
      </c>
      <c r="L149" s="50">
        <f t="shared" si="159"/>
        <v>1302001</v>
      </c>
      <c r="M149" s="50">
        <f t="shared" si="151"/>
        <v>1308000</v>
      </c>
      <c r="N149" s="50">
        <f t="shared" si="160"/>
        <v>4699501</v>
      </c>
      <c r="O149" s="50">
        <f t="shared" si="152"/>
        <v>4719000</v>
      </c>
      <c r="P149" s="52">
        <f t="shared" si="161"/>
        <v>14599501</v>
      </c>
      <c r="Q149" s="52">
        <f t="shared" si="153"/>
        <v>14655000</v>
      </c>
    </row>
    <row r="150" spans="1:17" s="1" customFormat="1" ht="30" customHeight="1">
      <c r="A150" s="20" t="s">
        <v>445</v>
      </c>
      <c r="B150" s="21" t="s">
        <v>446</v>
      </c>
      <c r="C150" s="22" t="s">
        <v>447</v>
      </c>
      <c r="D150" s="23" t="s">
        <v>438</v>
      </c>
      <c r="E150" s="16">
        <v>147</v>
      </c>
      <c r="F150" s="47">
        <f t="shared" si="154"/>
        <v>43801</v>
      </c>
      <c r="G150" s="47">
        <f t="shared" si="155"/>
        <v>44100</v>
      </c>
      <c r="H150" s="50">
        <f t="shared" si="156"/>
        <v>291001</v>
      </c>
      <c r="I150" s="50">
        <f t="shared" si="149"/>
        <v>292500</v>
      </c>
      <c r="J150" s="50">
        <f t="shared" si="157"/>
        <v>219001</v>
      </c>
      <c r="K150" s="50">
        <f t="shared" ref="K150" si="177">J150+1500-1</f>
        <v>220500</v>
      </c>
      <c r="L150" s="50">
        <f t="shared" si="159"/>
        <v>1308001</v>
      </c>
      <c r="M150" s="50">
        <f t="shared" si="151"/>
        <v>1314000</v>
      </c>
      <c r="N150" s="50">
        <f t="shared" si="160"/>
        <v>4719001</v>
      </c>
      <c r="O150" s="50">
        <f t="shared" si="152"/>
        <v>4738500</v>
      </c>
      <c r="P150" s="52">
        <f t="shared" si="161"/>
        <v>14655001</v>
      </c>
      <c r="Q150" s="52">
        <f t="shared" si="153"/>
        <v>14710500</v>
      </c>
    </row>
    <row r="151" spans="1:17" s="1" customFormat="1" ht="30" customHeight="1">
      <c r="A151" s="24" t="s">
        <v>448</v>
      </c>
      <c r="B151" s="21" t="s">
        <v>449</v>
      </c>
      <c r="C151" s="22" t="s">
        <v>450</v>
      </c>
      <c r="D151" s="23" t="s">
        <v>438</v>
      </c>
      <c r="E151" s="16">
        <v>148</v>
      </c>
      <c r="F151" s="47">
        <f t="shared" si="154"/>
        <v>44101</v>
      </c>
      <c r="G151" s="47">
        <f t="shared" si="155"/>
        <v>44400</v>
      </c>
      <c r="H151" s="50">
        <f t="shared" si="156"/>
        <v>292501</v>
      </c>
      <c r="I151" s="50">
        <f t="shared" si="149"/>
        <v>294000</v>
      </c>
      <c r="J151" s="50">
        <f t="shared" si="157"/>
        <v>220501</v>
      </c>
      <c r="K151" s="50">
        <f t="shared" ref="K151" si="178">J151+1500-1</f>
        <v>222000</v>
      </c>
      <c r="L151" s="50">
        <f t="shared" si="159"/>
        <v>1314001</v>
      </c>
      <c r="M151" s="50">
        <f t="shared" si="151"/>
        <v>1320000</v>
      </c>
      <c r="N151" s="50">
        <f t="shared" si="160"/>
        <v>4738501</v>
      </c>
      <c r="O151" s="50">
        <f t="shared" si="152"/>
        <v>4758000</v>
      </c>
      <c r="P151" s="52">
        <f t="shared" si="161"/>
        <v>14710501</v>
      </c>
      <c r="Q151" s="52">
        <f t="shared" si="153"/>
        <v>14766000</v>
      </c>
    </row>
    <row r="152" spans="1:17" s="1" customFormat="1" ht="30" customHeight="1">
      <c r="A152" s="24" t="s">
        <v>451</v>
      </c>
      <c r="B152" s="21" t="s">
        <v>452</v>
      </c>
      <c r="C152" s="22" t="s">
        <v>453</v>
      </c>
      <c r="D152" s="23" t="s">
        <v>438</v>
      </c>
      <c r="E152" s="16">
        <v>149</v>
      </c>
      <c r="F152" s="47">
        <f t="shared" si="154"/>
        <v>44401</v>
      </c>
      <c r="G152" s="47">
        <f t="shared" si="155"/>
        <v>44700</v>
      </c>
      <c r="H152" s="50">
        <f t="shared" si="156"/>
        <v>294001</v>
      </c>
      <c r="I152" s="50">
        <f t="shared" si="149"/>
        <v>295500</v>
      </c>
      <c r="J152" s="50">
        <f t="shared" si="157"/>
        <v>222001</v>
      </c>
      <c r="K152" s="50">
        <f t="shared" ref="K152" si="179">J152+1500-1</f>
        <v>223500</v>
      </c>
      <c r="L152" s="50">
        <f t="shared" si="159"/>
        <v>1320001</v>
      </c>
      <c r="M152" s="50">
        <f t="shared" si="151"/>
        <v>1326000</v>
      </c>
      <c r="N152" s="50">
        <f t="shared" si="160"/>
        <v>4758001</v>
      </c>
      <c r="O152" s="50">
        <f t="shared" si="152"/>
        <v>4777500</v>
      </c>
      <c r="P152" s="52">
        <f t="shared" si="161"/>
        <v>14766001</v>
      </c>
      <c r="Q152" s="52">
        <f t="shared" si="153"/>
        <v>14821500</v>
      </c>
    </row>
    <row r="153" spans="1:17" s="1" customFormat="1" ht="30" customHeight="1">
      <c r="A153" s="24" t="s">
        <v>454</v>
      </c>
      <c r="B153" s="21" t="s">
        <v>455</v>
      </c>
      <c r="C153" s="22" t="s">
        <v>456</v>
      </c>
      <c r="D153" s="23" t="s">
        <v>438</v>
      </c>
      <c r="E153" s="16">
        <v>150</v>
      </c>
      <c r="F153" s="47">
        <f t="shared" si="154"/>
        <v>44701</v>
      </c>
      <c r="G153" s="47">
        <f t="shared" si="155"/>
        <v>45000</v>
      </c>
      <c r="H153" s="50">
        <f t="shared" si="156"/>
        <v>295501</v>
      </c>
      <c r="I153" s="50">
        <f t="shared" si="149"/>
        <v>297000</v>
      </c>
      <c r="J153" s="50">
        <f t="shared" si="157"/>
        <v>223501</v>
      </c>
      <c r="K153" s="50">
        <f t="shared" ref="K153" si="180">J153+1500-1</f>
        <v>225000</v>
      </c>
      <c r="L153" s="50">
        <f t="shared" si="159"/>
        <v>1326001</v>
      </c>
      <c r="M153" s="50">
        <f t="shared" si="151"/>
        <v>1332000</v>
      </c>
      <c r="N153" s="50">
        <f t="shared" si="160"/>
        <v>4777501</v>
      </c>
      <c r="O153" s="50">
        <f t="shared" si="152"/>
        <v>4797000</v>
      </c>
      <c r="P153" s="52">
        <f t="shared" si="161"/>
        <v>14821501</v>
      </c>
      <c r="Q153" s="52">
        <f t="shared" si="153"/>
        <v>14877000</v>
      </c>
    </row>
    <row r="154" spans="1:17" s="1" customFormat="1" ht="30" customHeight="1">
      <c r="A154" s="24" t="s">
        <v>457</v>
      </c>
      <c r="B154" s="21" t="s">
        <v>458</v>
      </c>
      <c r="C154" s="22" t="s">
        <v>459</v>
      </c>
      <c r="D154" s="23" t="s">
        <v>438</v>
      </c>
      <c r="E154" s="16">
        <v>151</v>
      </c>
      <c r="F154" s="47">
        <f t="shared" si="154"/>
        <v>45001</v>
      </c>
      <c r="G154" s="47">
        <f t="shared" si="155"/>
        <v>45300</v>
      </c>
      <c r="H154" s="50">
        <f t="shared" si="156"/>
        <v>297001</v>
      </c>
      <c r="I154" s="50">
        <f t="shared" si="149"/>
        <v>298500</v>
      </c>
      <c r="J154" s="50">
        <f t="shared" si="157"/>
        <v>225001</v>
      </c>
      <c r="K154" s="50">
        <f t="shared" ref="K154" si="181">J154+1500-1</f>
        <v>226500</v>
      </c>
      <c r="L154" s="50">
        <f t="shared" si="159"/>
        <v>1332001</v>
      </c>
      <c r="M154" s="50">
        <f t="shared" si="151"/>
        <v>1338000</v>
      </c>
      <c r="N154" s="50">
        <f t="shared" si="160"/>
        <v>4797001</v>
      </c>
      <c r="O154" s="50">
        <f t="shared" si="152"/>
        <v>4816500</v>
      </c>
      <c r="P154" s="52">
        <f t="shared" si="161"/>
        <v>14877001</v>
      </c>
      <c r="Q154" s="52">
        <f t="shared" si="153"/>
        <v>14932500</v>
      </c>
    </row>
    <row r="155" spans="1:17" s="1" customFormat="1" ht="30" customHeight="1">
      <c r="A155" s="20" t="s">
        <v>460</v>
      </c>
      <c r="B155" s="21" t="s">
        <v>461</v>
      </c>
      <c r="C155" s="22" t="s">
        <v>462</v>
      </c>
      <c r="D155" s="23" t="s">
        <v>438</v>
      </c>
      <c r="E155" s="16">
        <v>152</v>
      </c>
      <c r="F155" s="47">
        <f t="shared" si="154"/>
        <v>45301</v>
      </c>
      <c r="G155" s="47">
        <f t="shared" si="155"/>
        <v>45600</v>
      </c>
      <c r="H155" s="50">
        <f t="shared" si="156"/>
        <v>298501</v>
      </c>
      <c r="I155" s="50">
        <f t="shared" si="149"/>
        <v>300000</v>
      </c>
      <c r="J155" s="50">
        <f t="shared" si="157"/>
        <v>226501</v>
      </c>
      <c r="K155" s="50">
        <f t="shared" ref="K155" si="182">J155+1500-1</f>
        <v>228000</v>
      </c>
      <c r="L155" s="50">
        <f t="shared" si="159"/>
        <v>1338001</v>
      </c>
      <c r="M155" s="50">
        <f t="shared" si="151"/>
        <v>1344000</v>
      </c>
      <c r="N155" s="50">
        <f t="shared" si="160"/>
        <v>4816501</v>
      </c>
      <c r="O155" s="50">
        <f t="shared" si="152"/>
        <v>4836000</v>
      </c>
      <c r="P155" s="52">
        <f t="shared" si="161"/>
        <v>14932501</v>
      </c>
      <c r="Q155" s="52">
        <f t="shared" si="153"/>
        <v>14988000</v>
      </c>
    </row>
    <row r="156" spans="1:17" s="1" customFormat="1" ht="30" customHeight="1">
      <c r="A156" s="20" t="s">
        <v>463</v>
      </c>
      <c r="B156" s="21" t="s">
        <v>464</v>
      </c>
      <c r="C156" s="22" t="s">
        <v>465</v>
      </c>
      <c r="D156" s="23" t="s">
        <v>438</v>
      </c>
      <c r="E156" s="16">
        <v>153</v>
      </c>
      <c r="F156" s="47">
        <f t="shared" si="154"/>
        <v>45601</v>
      </c>
      <c r="G156" s="47">
        <f t="shared" si="155"/>
        <v>45900</v>
      </c>
      <c r="H156" s="50">
        <f t="shared" si="156"/>
        <v>300001</v>
      </c>
      <c r="I156" s="50">
        <f t="shared" si="149"/>
        <v>301500</v>
      </c>
      <c r="J156" s="50">
        <f t="shared" si="157"/>
        <v>228001</v>
      </c>
      <c r="K156" s="50">
        <f t="shared" ref="K156" si="183">J156+1500-1</f>
        <v>229500</v>
      </c>
      <c r="L156" s="50">
        <f t="shared" si="159"/>
        <v>1344001</v>
      </c>
      <c r="M156" s="50">
        <f t="shared" si="151"/>
        <v>1350000</v>
      </c>
      <c r="N156" s="50">
        <f t="shared" si="160"/>
        <v>4836001</v>
      </c>
      <c r="O156" s="50">
        <f t="shared" si="152"/>
        <v>4855500</v>
      </c>
      <c r="P156" s="47">
        <f t="shared" si="161"/>
        <v>14988001</v>
      </c>
      <c r="Q156" s="47">
        <f t="shared" si="153"/>
        <v>15043500</v>
      </c>
    </row>
    <row r="157" spans="1:17" s="1" customFormat="1" ht="30" customHeight="1">
      <c r="A157" s="20" t="s">
        <v>466</v>
      </c>
      <c r="B157" s="21" t="s">
        <v>467</v>
      </c>
      <c r="C157" s="22" t="s">
        <v>468</v>
      </c>
      <c r="D157" s="23" t="s">
        <v>438</v>
      </c>
      <c r="E157" s="16">
        <v>154</v>
      </c>
      <c r="F157" s="47">
        <f t="shared" si="154"/>
        <v>45901</v>
      </c>
      <c r="G157" s="47">
        <f t="shared" si="155"/>
        <v>46200</v>
      </c>
      <c r="H157" s="50">
        <f t="shared" si="156"/>
        <v>301501</v>
      </c>
      <c r="I157" s="50">
        <f t="shared" si="149"/>
        <v>303000</v>
      </c>
      <c r="J157" s="50">
        <f t="shared" si="157"/>
        <v>229501</v>
      </c>
      <c r="K157" s="50">
        <f t="shared" ref="K157" si="184">J157+1500-1</f>
        <v>231000</v>
      </c>
      <c r="L157" s="50">
        <f t="shared" si="159"/>
        <v>1350001</v>
      </c>
      <c r="M157" s="50">
        <f t="shared" si="151"/>
        <v>1356000</v>
      </c>
      <c r="N157" s="50">
        <f t="shared" si="160"/>
        <v>4855501</v>
      </c>
      <c r="O157" s="50">
        <f t="shared" si="152"/>
        <v>4875000</v>
      </c>
      <c r="P157" s="47">
        <f t="shared" si="161"/>
        <v>15043501</v>
      </c>
      <c r="Q157" s="47">
        <f t="shared" si="153"/>
        <v>15099000</v>
      </c>
    </row>
    <row r="158" spans="1:17" s="1" customFormat="1" ht="30" customHeight="1">
      <c r="A158" s="20" t="s">
        <v>469</v>
      </c>
      <c r="B158" s="21" t="s">
        <v>470</v>
      </c>
      <c r="C158" s="22" t="s">
        <v>471</v>
      </c>
      <c r="D158" s="23" t="s">
        <v>438</v>
      </c>
      <c r="E158" s="16">
        <v>155</v>
      </c>
      <c r="F158" s="47">
        <f t="shared" si="154"/>
        <v>46201</v>
      </c>
      <c r="G158" s="47">
        <f t="shared" si="155"/>
        <v>46500</v>
      </c>
      <c r="H158" s="50">
        <f t="shared" si="156"/>
        <v>303001</v>
      </c>
      <c r="I158" s="50">
        <f t="shared" si="149"/>
        <v>304500</v>
      </c>
      <c r="J158" s="50">
        <f t="shared" si="157"/>
        <v>231001</v>
      </c>
      <c r="K158" s="50">
        <f t="shared" ref="K158" si="185">J158+1500-1</f>
        <v>232500</v>
      </c>
      <c r="L158" s="50">
        <f t="shared" si="159"/>
        <v>1356001</v>
      </c>
      <c r="M158" s="50">
        <f t="shared" si="151"/>
        <v>1362000</v>
      </c>
      <c r="N158" s="50">
        <f t="shared" si="160"/>
        <v>4875001</v>
      </c>
      <c r="O158" s="50">
        <f t="shared" si="152"/>
        <v>4894500</v>
      </c>
      <c r="P158" s="47">
        <f t="shared" si="161"/>
        <v>15099001</v>
      </c>
      <c r="Q158" s="47">
        <f t="shared" si="153"/>
        <v>15154500</v>
      </c>
    </row>
    <row r="159" spans="1:17" s="1" customFormat="1" ht="30" customHeight="1">
      <c r="A159" s="24" t="s">
        <v>472</v>
      </c>
      <c r="B159" s="21" t="s">
        <v>473</v>
      </c>
      <c r="C159" s="22" t="s">
        <v>474</v>
      </c>
      <c r="D159" s="23" t="s">
        <v>438</v>
      </c>
      <c r="E159" s="16">
        <v>156</v>
      </c>
      <c r="F159" s="47">
        <f t="shared" si="154"/>
        <v>46501</v>
      </c>
      <c r="G159" s="47">
        <f t="shared" si="155"/>
        <v>46800</v>
      </c>
      <c r="H159" s="50">
        <f t="shared" si="156"/>
        <v>304501</v>
      </c>
      <c r="I159" s="50">
        <f t="shared" si="149"/>
        <v>306000</v>
      </c>
      <c r="J159" s="50">
        <f t="shared" si="157"/>
        <v>232501</v>
      </c>
      <c r="K159" s="50">
        <f t="shared" ref="K159" si="186">J159+1500-1</f>
        <v>234000</v>
      </c>
      <c r="L159" s="50">
        <f t="shared" si="159"/>
        <v>1362001</v>
      </c>
      <c r="M159" s="50">
        <f t="shared" si="151"/>
        <v>1368000</v>
      </c>
      <c r="N159" s="50">
        <f t="shared" si="160"/>
        <v>4894501</v>
      </c>
      <c r="O159" s="50">
        <f t="shared" si="152"/>
        <v>4914000</v>
      </c>
      <c r="P159" s="47">
        <f t="shared" si="161"/>
        <v>15154501</v>
      </c>
      <c r="Q159" s="47">
        <f t="shared" si="153"/>
        <v>15210000</v>
      </c>
    </row>
    <row r="160" spans="1:17" s="1" customFormat="1" ht="30" customHeight="1">
      <c r="A160" s="24" t="s">
        <v>475</v>
      </c>
      <c r="B160" s="21" t="s">
        <v>476</v>
      </c>
      <c r="C160" s="22" t="s">
        <v>477</v>
      </c>
      <c r="D160" s="23" t="s">
        <v>438</v>
      </c>
      <c r="E160" s="16">
        <v>157</v>
      </c>
      <c r="F160" s="47">
        <f t="shared" si="154"/>
        <v>46801</v>
      </c>
      <c r="G160" s="47">
        <f t="shared" si="155"/>
        <v>47100</v>
      </c>
      <c r="H160" s="50">
        <f t="shared" si="156"/>
        <v>306001</v>
      </c>
      <c r="I160" s="50">
        <f t="shared" si="149"/>
        <v>307500</v>
      </c>
      <c r="J160" s="50">
        <f t="shared" si="157"/>
        <v>234001</v>
      </c>
      <c r="K160" s="50">
        <f t="shared" ref="K160" si="187">J160+1500-1</f>
        <v>235500</v>
      </c>
      <c r="L160" s="50">
        <f t="shared" si="159"/>
        <v>1368001</v>
      </c>
      <c r="M160" s="50">
        <f t="shared" si="151"/>
        <v>1374000</v>
      </c>
      <c r="N160" s="50">
        <f t="shared" si="160"/>
        <v>4914001</v>
      </c>
      <c r="O160" s="50">
        <f t="shared" si="152"/>
        <v>4933500</v>
      </c>
      <c r="P160" s="47">
        <f t="shared" si="161"/>
        <v>15210001</v>
      </c>
      <c r="Q160" s="47">
        <f t="shared" si="153"/>
        <v>15265500</v>
      </c>
    </row>
    <row r="161" spans="1:17" s="1" customFormat="1" ht="30" customHeight="1">
      <c r="A161" s="24" t="s">
        <v>478</v>
      </c>
      <c r="B161" s="21" t="s">
        <v>479</v>
      </c>
      <c r="C161" s="22" t="s">
        <v>480</v>
      </c>
      <c r="D161" s="23" t="s">
        <v>438</v>
      </c>
      <c r="E161" s="16">
        <v>158</v>
      </c>
      <c r="F161" s="47">
        <f t="shared" si="154"/>
        <v>47101</v>
      </c>
      <c r="G161" s="47">
        <f t="shared" si="155"/>
        <v>47400</v>
      </c>
      <c r="H161" s="50">
        <f t="shared" si="156"/>
        <v>307501</v>
      </c>
      <c r="I161" s="50">
        <f t="shared" si="149"/>
        <v>309000</v>
      </c>
      <c r="J161" s="50">
        <f t="shared" si="157"/>
        <v>235501</v>
      </c>
      <c r="K161" s="50">
        <f t="shared" ref="K161" si="188">J161+1500-1</f>
        <v>237000</v>
      </c>
      <c r="L161" s="50">
        <f t="shared" si="159"/>
        <v>1374001</v>
      </c>
      <c r="M161" s="50">
        <f t="shared" si="151"/>
        <v>1380000</v>
      </c>
      <c r="N161" s="50">
        <f t="shared" si="160"/>
        <v>4933501</v>
      </c>
      <c r="O161" s="50">
        <f t="shared" si="152"/>
        <v>4953000</v>
      </c>
      <c r="P161" s="47">
        <f t="shared" si="161"/>
        <v>15265501</v>
      </c>
      <c r="Q161" s="47">
        <f t="shared" si="153"/>
        <v>15321000</v>
      </c>
    </row>
    <row r="162" spans="1:17" s="1" customFormat="1" ht="30" customHeight="1">
      <c r="A162" s="24" t="s">
        <v>481</v>
      </c>
      <c r="B162" s="21" t="s">
        <v>482</v>
      </c>
      <c r="C162" s="22" t="s">
        <v>483</v>
      </c>
      <c r="D162" s="23" t="s">
        <v>438</v>
      </c>
      <c r="E162" s="16">
        <v>159</v>
      </c>
      <c r="F162" s="47">
        <f t="shared" si="154"/>
        <v>47401</v>
      </c>
      <c r="G162" s="47">
        <f t="shared" si="155"/>
        <v>47700</v>
      </c>
      <c r="H162" s="50">
        <f t="shared" si="156"/>
        <v>309001</v>
      </c>
      <c r="I162" s="50">
        <f t="shared" si="149"/>
        <v>310500</v>
      </c>
      <c r="J162" s="50">
        <f t="shared" si="157"/>
        <v>237001</v>
      </c>
      <c r="K162" s="50">
        <f t="shared" ref="K162" si="189">J162+1500-1</f>
        <v>238500</v>
      </c>
      <c r="L162" s="50">
        <f t="shared" si="159"/>
        <v>1380001</v>
      </c>
      <c r="M162" s="50">
        <f t="shared" si="151"/>
        <v>1386000</v>
      </c>
      <c r="N162" s="50">
        <f t="shared" si="160"/>
        <v>4953001</v>
      </c>
      <c r="O162" s="50">
        <f t="shared" si="152"/>
        <v>4972500</v>
      </c>
      <c r="P162" s="47">
        <f t="shared" si="161"/>
        <v>15321001</v>
      </c>
      <c r="Q162" s="47">
        <f t="shared" si="153"/>
        <v>15376500</v>
      </c>
    </row>
    <row r="163" spans="1:17" s="1" customFormat="1" ht="30" customHeight="1">
      <c r="A163" s="25" t="s">
        <v>484</v>
      </c>
      <c r="B163" s="26" t="s">
        <v>485</v>
      </c>
      <c r="C163" s="27" t="s">
        <v>486</v>
      </c>
      <c r="D163" s="28" t="s">
        <v>438</v>
      </c>
      <c r="E163" s="29">
        <v>160</v>
      </c>
      <c r="F163" s="47">
        <f t="shared" si="154"/>
        <v>47701</v>
      </c>
      <c r="G163" s="47">
        <f t="shared" si="155"/>
        <v>48000</v>
      </c>
      <c r="H163" s="50">
        <f t="shared" si="156"/>
        <v>310501</v>
      </c>
      <c r="I163" s="50">
        <f t="shared" si="149"/>
        <v>312000</v>
      </c>
      <c r="J163" s="50">
        <f t="shared" si="157"/>
        <v>238501</v>
      </c>
      <c r="K163" s="65">
        <f t="shared" ref="K163" si="190">J163+1500-1</f>
        <v>240000</v>
      </c>
      <c r="L163" s="50">
        <f t="shared" si="159"/>
        <v>1386001</v>
      </c>
      <c r="M163" s="50">
        <f t="shared" si="151"/>
        <v>1392000</v>
      </c>
      <c r="N163" s="50">
        <f t="shared" si="160"/>
        <v>4972501</v>
      </c>
      <c r="O163" s="50">
        <f t="shared" si="152"/>
        <v>4992000</v>
      </c>
      <c r="P163" s="47">
        <f t="shared" si="161"/>
        <v>15376501</v>
      </c>
      <c r="Q163" s="47">
        <f t="shared" si="153"/>
        <v>15432000</v>
      </c>
    </row>
    <row r="164" spans="1:17" s="3" customFormat="1" ht="30" customHeight="1">
      <c r="A164" s="25" t="s">
        <v>487</v>
      </c>
      <c r="B164" s="26" t="s">
        <v>488</v>
      </c>
      <c r="C164" s="27" t="s">
        <v>489</v>
      </c>
      <c r="D164" s="28" t="s">
        <v>438</v>
      </c>
      <c r="E164" s="29">
        <v>161</v>
      </c>
      <c r="F164" s="47">
        <f t="shared" si="154"/>
        <v>48001</v>
      </c>
      <c r="G164" s="47">
        <f t="shared" si="155"/>
        <v>48300</v>
      </c>
      <c r="H164" s="50">
        <f t="shared" si="156"/>
        <v>312001</v>
      </c>
      <c r="I164" s="50">
        <f t="shared" si="149"/>
        <v>313500</v>
      </c>
      <c r="J164" s="65">
        <f t="shared" si="157"/>
        <v>240001</v>
      </c>
      <c r="K164" s="50">
        <f t="shared" ref="K164" si="191">J164+1500-1</f>
        <v>241500</v>
      </c>
      <c r="L164" s="50">
        <f t="shared" si="159"/>
        <v>1392001</v>
      </c>
      <c r="M164" s="50">
        <f t="shared" si="151"/>
        <v>1398000</v>
      </c>
      <c r="N164" s="51">
        <f t="shared" si="160"/>
        <v>4992001</v>
      </c>
      <c r="O164" s="51">
        <f t="shared" si="152"/>
        <v>5011500</v>
      </c>
      <c r="P164" s="52">
        <f t="shared" si="161"/>
        <v>15432001</v>
      </c>
      <c r="Q164" s="52">
        <f t="shared" si="153"/>
        <v>15487500</v>
      </c>
    </row>
    <row r="165" spans="1:17" s="3" customFormat="1" ht="30" customHeight="1">
      <c r="A165" s="25" t="s">
        <v>490</v>
      </c>
      <c r="B165" s="26" t="s">
        <v>491</v>
      </c>
      <c r="C165" s="27" t="s">
        <v>492</v>
      </c>
      <c r="D165" s="28" t="s">
        <v>438</v>
      </c>
      <c r="E165" s="29">
        <v>162</v>
      </c>
      <c r="F165" s="47">
        <f t="shared" si="154"/>
        <v>48301</v>
      </c>
      <c r="G165" s="47">
        <f t="shared" si="155"/>
        <v>48600</v>
      </c>
      <c r="H165" s="50">
        <f t="shared" si="156"/>
        <v>313501</v>
      </c>
      <c r="I165" s="50">
        <f t="shared" si="149"/>
        <v>315000</v>
      </c>
      <c r="J165" s="50">
        <f t="shared" si="157"/>
        <v>241501</v>
      </c>
      <c r="K165" s="50">
        <f t="shared" ref="K165" si="192">J165+1500-1</f>
        <v>243000</v>
      </c>
      <c r="L165" s="50">
        <f t="shared" si="159"/>
        <v>1398001</v>
      </c>
      <c r="M165" s="50">
        <f t="shared" si="151"/>
        <v>1404000</v>
      </c>
      <c r="N165" s="51">
        <f t="shared" si="160"/>
        <v>5011501</v>
      </c>
      <c r="O165" s="51">
        <f t="shared" si="152"/>
        <v>5031000</v>
      </c>
      <c r="P165" s="52">
        <f t="shared" si="161"/>
        <v>15487501</v>
      </c>
      <c r="Q165" s="52">
        <f t="shared" si="153"/>
        <v>15543000</v>
      </c>
    </row>
    <row r="166" spans="1:17" s="3" customFormat="1" ht="30" customHeight="1">
      <c r="A166" s="25" t="s">
        <v>493</v>
      </c>
      <c r="B166" s="26" t="s">
        <v>494</v>
      </c>
      <c r="C166" s="27" t="s">
        <v>495</v>
      </c>
      <c r="D166" s="28" t="s">
        <v>438</v>
      </c>
      <c r="E166" s="29">
        <v>163</v>
      </c>
      <c r="F166" s="47">
        <f t="shared" si="154"/>
        <v>48601</v>
      </c>
      <c r="G166" s="47">
        <f t="shared" si="155"/>
        <v>48900</v>
      </c>
      <c r="H166" s="50">
        <f t="shared" si="156"/>
        <v>315001</v>
      </c>
      <c r="I166" s="50">
        <f t="shared" si="149"/>
        <v>316500</v>
      </c>
      <c r="J166" s="50">
        <f t="shared" si="157"/>
        <v>243001</v>
      </c>
      <c r="K166" s="50">
        <f t="shared" ref="K166" si="193">J166+1500-1</f>
        <v>244500</v>
      </c>
      <c r="L166" s="50">
        <f t="shared" si="159"/>
        <v>1404001</v>
      </c>
      <c r="M166" s="50">
        <f t="shared" si="151"/>
        <v>1410000</v>
      </c>
      <c r="N166" s="51">
        <f t="shared" si="160"/>
        <v>5031001</v>
      </c>
      <c r="O166" s="51">
        <f t="shared" si="152"/>
        <v>5050500</v>
      </c>
      <c r="P166" s="52">
        <f t="shared" si="161"/>
        <v>15543001</v>
      </c>
      <c r="Q166" s="52">
        <f t="shared" si="153"/>
        <v>15598500</v>
      </c>
    </row>
    <row r="167" spans="1:17" s="3" customFormat="1" ht="30" customHeight="1">
      <c r="A167" s="24" t="s">
        <v>496</v>
      </c>
      <c r="B167" s="21" t="s">
        <v>497</v>
      </c>
      <c r="C167" s="22" t="s">
        <v>498</v>
      </c>
      <c r="D167" s="23" t="s">
        <v>438</v>
      </c>
      <c r="E167" s="16">
        <v>164</v>
      </c>
      <c r="F167" s="47">
        <f t="shared" si="154"/>
        <v>48901</v>
      </c>
      <c r="G167" s="47">
        <f t="shared" si="155"/>
        <v>49200</v>
      </c>
      <c r="H167" s="50">
        <f t="shared" si="156"/>
        <v>316501</v>
      </c>
      <c r="I167" s="50">
        <f t="shared" si="149"/>
        <v>318000</v>
      </c>
      <c r="J167" s="50">
        <f t="shared" si="157"/>
        <v>244501</v>
      </c>
      <c r="K167" s="50">
        <f t="shared" ref="K167" si="194">J167+1500-1</f>
        <v>246000</v>
      </c>
      <c r="L167" s="50">
        <f t="shared" si="159"/>
        <v>1410001</v>
      </c>
      <c r="M167" s="50">
        <f t="shared" si="151"/>
        <v>1416000</v>
      </c>
      <c r="N167" s="51">
        <f t="shared" si="160"/>
        <v>5050501</v>
      </c>
      <c r="O167" s="51">
        <f t="shared" si="152"/>
        <v>5070000</v>
      </c>
      <c r="P167" s="52">
        <f t="shared" si="161"/>
        <v>15598501</v>
      </c>
      <c r="Q167" s="52">
        <f t="shared" si="153"/>
        <v>15654000</v>
      </c>
    </row>
    <row r="168" spans="1:17" s="3" customFormat="1" ht="30" customHeight="1">
      <c r="A168" s="24" t="s">
        <v>499</v>
      </c>
      <c r="B168" s="21" t="s">
        <v>500</v>
      </c>
      <c r="C168" s="22" t="s">
        <v>501</v>
      </c>
      <c r="D168" s="23" t="s">
        <v>438</v>
      </c>
      <c r="E168" s="16">
        <v>165</v>
      </c>
      <c r="F168" s="47">
        <f t="shared" si="154"/>
        <v>49201</v>
      </c>
      <c r="G168" s="47">
        <f t="shared" si="155"/>
        <v>49500</v>
      </c>
      <c r="H168" s="50">
        <f t="shared" si="156"/>
        <v>318001</v>
      </c>
      <c r="I168" s="50">
        <f t="shared" si="149"/>
        <v>319500</v>
      </c>
      <c r="J168" s="50">
        <f t="shared" si="157"/>
        <v>246001</v>
      </c>
      <c r="K168" s="50">
        <f t="shared" ref="K168" si="195">J168+1500-1</f>
        <v>247500</v>
      </c>
      <c r="L168" s="50">
        <f t="shared" si="159"/>
        <v>1416001</v>
      </c>
      <c r="M168" s="50">
        <f t="shared" si="151"/>
        <v>1422000</v>
      </c>
      <c r="N168" s="51">
        <f t="shared" si="160"/>
        <v>5070001</v>
      </c>
      <c r="O168" s="51">
        <f t="shared" si="152"/>
        <v>5089500</v>
      </c>
      <c r="P168" s="52">
        <f t="shared" si="161"/>
        <v>15654001</v>
      </c>
      <c r="Q168" s="52">
        <f t="shared" si="153"/>
        <v>15709500</v>
      </c>
    </row>
    <row r="169" spans="1:17" s="3" customFormat="1" ht="30" customHeight="1">
      <c r="A169" s="24" t="s">
        <v>502</v>
      </c>
      <c r="B169" s="21" t="s">
        <v>503</v>
      </c>
      <c r="C169" s="22" t="s">
        <v>504</v>
      </c>
      <c r="D169" s="23" t="s">
        <v>438</v>
      </c>
      <c r="E169" s="16">
        <v>166</v>
      </c>
      <c r="F169" s="47">
        <f t="shared" si="154"/>
        <v>49501</v>
      </c>
      <c r="G169" s="47">
        <f t="shared" si="155"/>
        <v>49800</v>
      </c>
      <c r="H169" s="50">
        <f t="shared" si="156"/>
        <v>319501</v>
      </c>
      <c r="I169" s="50">
        <f t="shared" si="149"/>
        <v>321000</v>
      </c>
      <c r="J169" s="50">
        <f t="shared" si="157"/>
        <v>247501</v>
      </c>
      <c r="K169" s="50">
        <f t="shared" ref="K169" si="196">J169+1500-1</f>
        <v>249000</v>
      </c>
      <c r="L169" s="50">
        <f t="shared" si="159"/>
        <v>1422001</v>
      </c>
      <c r="M169" s="50">
        <f t="shared" si="151"/>
        <v>1428000</v>
      </c>
      <c r="N169" s="51">
        <f t="shared" si="160"/>
        <v>5089501</v>
      </c>
      <c r="O169" s="51">
        <f t="shared" si="152"/>
        <v>5109000</v>
      </c>
      <c r="P169" s="52">
        <f t="shared" si="161"/>
        <v>15709501</v>
      </c>
      <c r="Q169" s="52">
        <f t="shared" si="153"/>
        <v>15765000</v>
      </c>
    </row>
    <row r="170" spans="1:17" s="3" customFormat="1" ht="30" customHeight="1">
      <c r="A170" s="24" t="s">
        <v>505</v>
      </c>
      <c r="B170" s="21" t="s">
        <v>506</v>
      </c>
      <c r="C170" s="22" t="s">
        <v>507</v>
      </c>
      <c r="D170" s="23" t="s">
        <v>438</v>
      </c>
      <c r="E170" s="16">
        <v>167</v>
      </c>
      <c r="F170" s="47">
        <f t="shared" si="154"/>
        <v>49801</v>
      </c>
      <c r="G170" s="47">
        <f t="shared" si="155"/>
        <v>50100</v>
      </c>
      <c r="H170" s="50">
        <f t="shared" si="156"/>
        <v>321001</v>
      </c>
      <c r="I170" s="50">
        <f t="shared" si="149"/>
        <v>322500</v>
      </c>
      <c r="J170" s="50">
        <f t="shared" si="157"/>
        <v>249001</v>
      </c>
      <c r="K170" s="50">
        <f t="shared" ref="K170" si="197">J170+1500-1</f>
        <v>250500</v>
      </c>
      <c r="L170" s="50">
        <f t="shared" si="159"/>
        <v>1428001</v>
      </c>
      <c r="M170" s="50">
        <f t="shared" si="151"/>
        <v>1434000</v>
      </c>
      <c r="N170" s="51">
        <f t="shared" si="160"/>
        <v>5109001</v>
      </c>
      <c r="O170" s="51">
        <f t="shared" si="152"/>
        <v>5128500</v>
      </c>
      <c r="P170" s="52">
        <f t="shared" si="161"/>
        <v>15765001</v>
      </c>
      <c r="Q170" s="52">
        <f t="shared" si="153"/>
        <v>15820500</v>
      </c>
    </row>
    <row r="171" spans="1:17" s="3" customFormat="1" ht="30" customHeight="1">
      <c r="A171" s="20" t="s">
        <v>508</v>
      </c>
      <c r="B171" s="21" t="s">
        <v>509</v>
      </c>
      <c r="C171" s="22" t="s">
        <v>510</v>
      </c>
      <c r="D171" s="23" t="s">
        <v>438</v>
      </c>
      <c r="E171" s="16">
        <v>168</v>
      </c>
      <c r="F171" s="47">
        <f t="shared" si="154"/>
        <v>50101</v>
      </c>
      <c r="G171" s="47">
        <f t="shared" si="155"/>
        <v>50400</v>
      </c>
      <c r="H171" s="50">
        <f t="shared" si="156"/>
        <v>322501</v>
      </c>
      <c r="I171" s="50">
        <f t="shared" si="149"/>
        <v>324000</v>
      </c>
      <c r="J171" s="50">
        <f t="shared" si="157"/>
        <v>250501</v>
      </c>
      <c r="K171" s="50">
        <f t="shared" ref="K171" si="198">J171+1500-1</f>
        <v>252000</v>
      </c>
      <c r="L171" s="50">
        <f t="shared" si="159"/>
        <v>1434001</v>
      </c>
      <c r="M171" s="50">
        <f t="shared" si="151"/>
        <v>1440000</v>
      </c>
      <c r="N171" s="51">
        <f t="shared" si="160"/>
        <v>5128501</v>
      </c>
      <c r="O171" s="51">
        <f t="shared" si="152"/>
        <v>5148000</v>
      </c>
      <c r="P171" s="52">
        <f t="shared" si="161"/>
        <v>15820501</v>
      </c>
      <c r="Q171" s="52">
        <f t="shared" si="153"/>
        <v>15876000</v>
      </c>
    </row>
    <row r="172" spans="1:17" s="3" customFormat="1" ht="30" customHeight="1">
      <c r="A172" s="20" t="s">
        <v>511</v>
      </c>
      <c r="B172" s="21" t="s">
        <v>512</v>
      </c>
      <c r="C172" s="22" t="s">
        <v>513</v>
      </c>
      <c r="D172" s="23" t="s">
        <v>438</v>
      </c>
      <c r="E172" s="16">
        <v>169</v>
      </c>
      <c r="F172" s="47">
        <f t="shared" si="154"/>
        <v>50401</v>
      </c>
      <c r="G172" s="47">
        <f t="shared" si="155"/>
        <v>50700</v>
      </c>
      <c r="H172" s="50">
        <f t="shared" si="156"/>
        <v>324001</v>
      </c>
      <c r="I172" s="50">
        <f t="shared" si="149"/>
        <v>325500</v>
      </c>
      <c r="J172" s="50">
        <f t="shared" si="157"/>
        <v>252001</v>
      </c>
      <c r="K172" s="50">
        <f t="shared" ref="K172" si="199">J172+1500-1</f>
        <v>253500</v>
      </c>
      <c r="L172" s="50">
        <f t="shared" si="159"/>
        <v>1440001</v>
      </c>
      <c r="M172" s="50">
        <f t="shared" si="151"/>
        <v>1446000</v>
      </c>
      <c r="N172" s="51">
        <f t="shared" si="160"/>
        <v>5148001</v>
      </c>
      <c r="O172" s="51">
        <f t="shared" si="152"/>
        <v>5167500</v>
      </c>
      <c r="P172" s="47">
        <f t="shared" si="161"/>
        <v>15876001</v>
      </c>
      <c r="Q172" s="47">
        <f t="shared" si="153"/>
        <v>15931500</v>
      </c>
    </row>
    <row r="173" spans="1:17" s="3" customFormat="1" ht="30" customHeight="1">
      <c r="A173" s="20" t="s">
        <v>514</v>
      </c>
      <c r="B173" s="21" t="s">
        <v>515</v>
      </c>
      <c r="C173" s="22" t="s">
        <v>516</v>
      </c>
      <c r="D173" s="23" t="s">
        <v>438</v>
      </c>
      <c r="E173" s="16">
        <v>170</v>
      </c>
      <c r="F173" s="47">
        <f t="shared" si="154"/>
        <v>50701</v>
      </c>
      <c r="G173" s="47">
        <f t="shared" si="155"/>
        <v>51000</v>
      </c>
      <c r="H173" s="50">
        <f t="shared" si="156"/>
        <v>325501</v>
      </c>
      <c r="I173" s="50">
        <f t="shared" si="149"/>
        <v>327000</v>
      </c>
      <c r="J173" s="50">
        <f t="shared" si="157"/>
        <v>253501</v>
      </c>
      <c r="K173" s="50">
        <f t="shared" ref="K173" si="200">J173+1500-1</f>
        <v>255000</v>
      </c>
      <c r="L173" s="50">
        <f t="shared" si="159"/>
        <v>1446001</v>
      </c>
      <c r="M173" s="50">
        <f t="shared" si="151"/>
        <v>1452000</v>
      </c>
      <c r="N173" s="51">
        <f t="shared" si="160"/>
        <v>5167501</v>
      </c>
      <c r="O173" s="51">
        <f t="shared" si="152"/>
        <v>5187000</v>
      </c>
      <c r="P173" s="47">
        <f t="shared" si="161"/>
        <v>15931501</v>
      </c>
      <c r="Q173" s="47">
        <f t="shared" si="153"/>
        <v>15987000</v>
      </c>
    </row>
    <row r="174" spans="1:17" s="3" customFormat="1" ht="30" customHeight="1">
      <c r="A174" s="20" t="s">
        <v>517</v>
      </c>
      <c r="B174" s="21" t="s">
        <v>518</v>
      </c>
      <c r="C174" s="22" t="s">
        <v>519</v>
      </c>
      <c r="D174" s="23" t="s">
        <v>438</v>
      </c>
      <c r="E174" s="16">
        <v>171</v>
      </c>
      <c r="F174" s="47">
        <f t="shared" si="154"/>
        <v>51001</v>
      </c>
      <c r="G174" s="47">
        <f t="shared" si="155"/>
        <v>51300</v>
      </c>
      <c r="H174" s="50">
        <f t="shared" si="156"/>
        <v>327001</v>
      </c>
      <c r="I174" s="50">
        <f t="shared" si="149"/>
        <v>328500</v>
      </c>
      <c r="J174" s="50">
        <f t="shared" si="157"/>
        <v>255001</v>
      </c>
      <c r="K174" s="50">
        <f t="shared" ref="K174" si="201">J174+1500-1</f>
        <v>256500</v>
      </c>
      <c r="L174" s="50">
        <f t="shared" si="159"/>
        <v>1452001</v>
      </c>
      <c r="M174" s="50">
        <f t="shared" si="151"/>
        <v>1458000</v>
      </c>
      <c r="N174" s="51">
        <f t="shared" si="160"/>
        <v>5187001</v>
      </c>
      <c r="O174" s="51">
        <f t="shared" si="152"/>
        <v>5206500</v>
      </c>
      <c r="P174" s="47">
        <f t="shared" si="161"/>
        <v>15987001</v>
      </c>
      <c r="Q174" s="47">
        <f t="shared" si="153"/>
        <v>16042500</v>
      </c>
    </row>
    <row r="175" spans="1:17" s="3" customFormat="1" ht="30" customHeight="1">
      <c r="A175" s="24" t="s">
        <v>520</v>
      </c>
      <c r="B175" s="21" t="s">
        <v>521</v>
      </c>
      <c r="C175" s="22" t="s">
        <v>522</v>
      </c>
      <c r="D175" s="23" t="s">
        <v>438</v>
      </c>
      <c r="E175" s="16">
        <v>172</v>
      </c>
      <c r="F175" s="47">
        <f t="shared" si="154"/>
        <v>51301</v>
      </c>
      <c r="G175" s="47">
        <f t="shared" si="155"/>
        <v>51600</v>
      </c>
      <c r="H175" s="50">
        <f t="shared" si="156"/>
        <v>328501</v>
      </c>
      <c r="I175" s="50">
        <f t="shared" si="149"/>
        <v>330000</v>
      </c>
      <c r="J175" s="50">
        <f t="shared" si="157"/>
        <v>256501</v>
      </c>
      <c r="K175" s="50">
        <f t="shared" ref="K175" si="202">J175+1500-1</f>
        <v>258000</v>
      </c>
      <c r="L175" s="50">
        <f t="shared" si="159"/>
        <v>1458001</v>
      </c>
      <c r="M175" s="50">
        <f t="shared" si="151"/>
        <v>1464000</v>
      </c>
      <c r="N175" s="51">
        <f t="shared" si="160"/>
        <v>5206501</v>
      </c>
      <c r="O175" s="51">
        <f t="shared" si="152"/>
        <v>5226000</v>
      </c>
      <c r="P175" s="47">
        <f t="shared" si="161"/>
        <v>16042501</v>
      </c>
      <c r="Q175" s="47">
        <f t="shared" si="153"/>
        <v>16098000</v>
      </c>
    </row>
    <row r="176" spans="1:17" s="3" customFormat="1" ht="30" customHeight="1">
      <c r="A176" s="24" t="s">
        <v>523</v>
      </c>
      <c r="B176" s="21" t="s">
        <v>524</v>
      </c>
      <c r="C176" s="22" t="s">
        <v>525</v>
      </c>
      <c r="D176" s="23" t="s">
        <v>438</v>
      </c>
      <c r="E176" s="16">
        <v>173</v>
      </c>
      <c r="F176" s="47">
        <f t="shared" si="154"/>
        <v>51601</v>
      </c>
      <c r="G176" s="47">
        <f t="shared" si="155"/>
        <v>51900</v>
      </c>
      <c r="H176" s="50">
        <f t="shared" si="156"/>
        <v>330001</v>
      </c>
      <c r="I176" s="50">
        <f t="shared" si="149"/>
        <v>331500</v>
      </c>
      <c r="J176" s="50">
        <f t="shared" si="157"/>
        <v>258001</v>
      </c>
      <c r="K176" s="50">
        <f t="shared" ref="K176" si="203">J176+1500-1</f>
        <v>259500</v>
      </c>
      <c r="L176" s="50">
        <f t="shared" si="159"/>
        <v>1464001</v>
      </c>
      <c r="M176" s="50">
        <f t="shared" si="151"/>
        <v>1470000</v>
      </c>
      <c r="N176" s="51">
        <f t="shared" si="160"/>
        <v>5226001</v>
      </c>
      <c r="O176" s="51">
        <f t="shared" si="152"/>
        <v>5245500</v>
      </c>
      <c r="P176" s="47">
        <f t="shared" si="161"/>
        <v>16098001</v>
      </c>
      <c r="Q176" s="47">
        <f t="shared" si="153"/>
        <v>16153500</v>
      </c>
    </row>
    <row r="177" spans="1:17" s="3" customFormat="1" ht="30" customHeight="1">
      <c r="A177" s="24" t="s">
        <v>526</v>
      </c>
      <c r="B177" s="21" t="s">
        <v>527</v>
      </c>
      <c r="C177" s="22" t="s">
        <v>528</v>
      </c>
      <c r="D177" s="23" t="s">
        <v>438</v>
      </c>
      <c r="E177" s="16">
        <v>174</v>
      </c>
      <c r="F177" s="47">
        <f t="shared" si="154"/>
        <v>51901</v>
      </c>
      <c r="G177" s="47">
        <f t="shared" si="155"/>
        <v>52200</v>
      </c>
      <c r="H177" s="50">
        <f t="shared" si="156"/>
        <v>331501</v>
      </c>
      <c r="I177" s="50">
        <f t="shared" si="149"/>
        <v>333000</v>
      </c>
      <c r="J177" s="50">
        <f t="shared" si="157"/>
        <v>259501</v>
      </c>
      <c r="K177" s="50">
        <f t="shared" ref="K177" si="204">J177+1500-1</f>
        <v>261000</v>
      </c>
      <c r="L177" s="50">
        <f t="shared" si="159"/>
        <v>1470001</v>
      </c>
      <c r="M177" s="50">
        <f t="shared" si="151"/>
        <v>1476000</v>
      </c>
      <c r="N177" s="51">
        <f t="shared" si="160"/>
        <v>5245501</v>
      </c>
      <c r="O177" s="51">
        <f t="shared" si="152"/>
        <v>5265000</v>
      </c>
      <c r="P177" s="47">
        <f t="shared" si="161"/>
        <v>16153501</v>
      </c>
      <c r="Q177" s="47">
        <f t="shared" si="153"/>
        <v>16209000</v>
      </c>
    </row>
    <row r="178" spans="1:17" s="3" customFormat="1" ht="30" customHeight="1">
      <c r="A178" s="24" t="s">
        <v>529</v>
      </c>
      <c r="B178" s="21" t="s">
        <v>530</v>
      </c>
      <c r="C178" s="22" t="s">
        <v>531</v>
      </c>
      <c r="D178" s="23" t="s">
        <v>438</v>
      </c>
      <c r="E178" s="16">
        <v>175</v>
      </c>
      <c r="F178" s="47">
        <f t="shared" si="154"/>
        <v>52201</v>
      </c>
      <c r="G178" s="47">
        <f t="shared" si="155"/>
        <v>52500</v>
      </c>
      <c r="H178" s="50">
        <f t="shared" si="156"/>
        <v>333001</v>
      </c>
      <c r="I178" s="50">
        <f t="shared" si="149"/>
        <v>334500</v>
      </c>
      <c r="J178" s="50">
        <f t="shared" si="157"/>
        <v>261001</v>
      </c>
      <c r="K178" s="50">
        <f t="shared" ref="K178" si="205">J178+1500-1</f>
        <v>262500</v>
      </c>
      <c r="L178" s="50">
        <f t="shared" si="159"/>
        <v>1476001</v>
      </c>
      <c r="M178" s="50">
        <f t="shared" si="151"/>
        <v>1482000</v>
      </c>
      <c r="N178" s="51">
        <f t="shared" si="160"/>
        <v>5265001</v>
      </c>
      <c r="O178" s="51">
        <f t="shared" si="152"/>
        <v>5284500</v>
      </c>
      <c r="P178" s="47">
        <f t="shared" si="161"/>
        <v>16209001</v>
      </c>
      <c r="Q178" s="47">
        <f t="shared" si="153"/>
        <v>16264500</v>
      </c>
    </row>
    <row r="179" spans="1:17" s="3" customFormat="1" ht="30" customHeight="1">
      <c r="A179" s="20" t="s">
        <v>532</v>
      </c>
      <c r="B179" s="21" t="s">
        <v>533</v>
      </c>
      <c r="C179" s="22" t="s">
        <v>534</v>
      </c>
      <c r="D179" s="23" t="s">
        <v>438</v>
      </c>
      <c r="E179" s="16">
        <v>176</v>
      </c>
      <c r="F179" s="47">
        <f t="shared" si="154"/>
        <v>52501</v>
      </c>
      <c r="G179" s="47">
        <f t="shared" si="155"/>
        <v>52800</v>
      </c>
      <c r="H179" s="50">
        <f t="shared" si="156"/>
        <v>334501</v>
      </c>
      <c r="I179" s="50">
        <f t="shared" si="149"/>
        <v>336000</v>
      </c>
      <c r="J179" s="50">
        <f t="shared" si="157"/>
        <v>262501</v>
      </c>
      <c r="K179" s="50">
        <f t="shared" ref="K179" si="206">J179+1500-1</f>
        <v>264000</v>
      </c>
      <c r="L179" s="50">
        <f t="shared" si="159"/>
        <v>1482001</v>
      </c>
      <c r="M179" s="50">
        <f t="shared" si="151"/>
        <v>1488000</v>
      </c>
      <c r="N179" s="51">
        <f t="shared" si="160"/>
        <v>5284501</v>
      </c>
      <c r="O179" s="51">
        <f t="shared" si="152"/>
        <v>5304000</v>
      </c>
      <c r="P179" s="50">
        <f t="shared" si="161"/>
        <v>16264501</v>
      </c>
      <c r="Q179" s="50">
        <f t="shared" si="153"/>
        <v>16320000</v>
      </c>
    </row>
    <row r="180" spans="1:17" s="3" customFormat="1" ht="30" customHeight="1">
      <c r="A180" s="20" t="s">
        <v>535</v>
      </c>
      <c r="B180" s="21" t="s">
        <v>536</v>
      </c>
      <c r="C180" s="22" t="s">
        <v>537</v>
      </c>
      <c r="D180" s="23" t="s">
        <v>438</v>
      </c>
      <c r="E180" s="16">
        <v>177</v>
      </c>
      <c r="F180" s="47">
        <f t="shared" si="154"/>
        <v>52801</v>
      </c>
      <c r="G180" s="47">
        <f t="shared" si="155"/>
        <v>53100</v>
      </c>
      <c r="H180" s="50">
        <f t="shared" si="156"/>
        <v>336001</v>
      </c>
      <c r="I180" s="50">
        <f t="shared" si="149"/>
        <v>337500</v>
      </c>
      <c r="J180" s="50">
        <f t="shared" si="157"/>
        <v>264001</v>
      </c>
      <c r="K180" s="50">
        <f t="shared" ref="K180" si="207">J180+1500-1</f>
        <v>265500</v>
      </c>
      <c r="L180" s="50">
        <f t="shared" si="159"/>
        <v>1488001</v>
      </c>
      <c r="M180" s="50">
        <f t="shared" si="151"/>
        <v>1494000</v>
      </c>
      <c r="N180" s="51">
        <f t="shared" si="160"/>
        <v>5304001</v>
      </c>
      <c r="O180" s="51">
        <f t="shared" si="152"/>
        <v>5323500</v>
      </c>
      <c r="P180" s="52">
        <f t="shared" si="161"/>
        <v>16320001</v>
      </c>
      <c r="Q180" s="52">
        <f t="shared" si="153"/>
        <v>16375500</v>
      </c>
    </row>
    <row r="181" spans="1:17" s="3" customFormat="1" ht="30" customHeight="1">
      <c r="A181" s="20" t="s">
        <v>538</v>
      </c>
      <c r="B181" s="21" t="s">
        <v>539</v>
      </c>
      <c r="C181" s="22" t="s">
        <v>540</v>
      </c>
      <c r="D181" s="23" t="s">
        <v>438</v>
      </c>
      <c r="E181" s="16">
        <v>178</v>
      </c>
      <c r="F181" s="47">
        <f t="shared" si="154"/>
        <v>53101</v>
      </c>
      <c r="G181" s="47">
        <f t="shared" si="155"/>
        <v>53400</v>
      </c>
      <c r="H181" s="50">
        <f t="shared" si="156"/>
        <v>337501</v>
      </c>
      <c r="I181" s="50">
        <f t="shared" si="149"/>
        <v>339000</v>
      </c>
      <c r="J181" s="50">
        <f t="shared" si="157"/>
        <v>265501</v>
      </c>
      <c r="K181" s="50">
        <f t="shared" ref="K181" si="208">J181+1500-1</f>
        <v>267000</v>
      </c>
      <c r="L181" s="50">
        <f t="shared" si="159"/>
        <v>1494001</v>
      </c>
      <c r="M181" s="50">
        <f t="shared" si="151"/>
        <v>1500000</v>
      </c>
      <c r="N181" s="51">
        <f t="shared" si="160"/>
        <v>5323501</v>
      </c>
      <c r="O181" s="51">
        <f t="shared" si="152"/>
        <v>5343000</v>
      </c>
      <c r="P181" s="52">
        <f t="shared" si="161"/>
        <v>16375501</v>
      </c>
      <c r="Q181" s="52">
        <f t="shared" si="153"/>
        <v>16431000</v>
      </c>
    </row>
    <row r="182" spans="1:17" s="3" customFormat="1" ht="30" customHeight="1">
      <c r="A182" s="20" t="s">
        <v>541</v>
      </c>
      <c r="B182" s="21" t="s">
        <v>542</v>
      </c>
      <c r="C182" s="22" t="s">
        <v>543</v>
      </c>
      <c r="D182" s="23" t="s">
        <v>438</v>
      </c>
      <c r="E182" s="16">
        <v>179</v>
      </c>
      <c r="F182" s="47">
        <f t="shared" si="154"/>
        <v>53401</v>
      </c>
      <c r="G182" s="47">
        <f t="shared" si="155"/>
        <v>53700</v>
      </c>
      <c r="H182" s="50">
        <f t="shared" si="156"/>
        <v>339001</v>
      </c>
      <c r="I182" s="50">
        <f t="shared" si="149"/>
        <v>340500</v>
      </c>
      <c r="J182" s="50">
        <f t="shared" si="157"/>
        <v>267001</v>
      </c>
      <c r="K182" s="50">
        <f t="shared" ref="K182" si="209">J182+1500-1</f>
        <v>268500</v>
      </c>
      <c r="L182" s="50">
        <f t="shared" si="159"/>
        <v>1500001</v>
      </c>
      <c r="M182" s="50">
        <f t="shared" si="151"/>
        <v>1506000</v>
      </c>
      <c r="N182" s="51">
        <f t="shared" si="160"/>
        <v>5343001</v>
      </c>
      <c r="O182" s="51">
        <f t="shared" si="152"/>
        <v>5362500</v>
      </c>
      <c r="P182" s="52">
        <f t="shared" si="161"/>
        <v>16431001</v>
      </c>
      <c r="Q182" s="52">
        <f t="shared" si="153"/>
        <v>16486500</v>
      </c>
    </row>
    <row r="183" spans="1:17" s="3" customFormat="1" ht="30" customHeight="1">
      <c r="A183" s="24" t="s">
        <v>544</v>
      </c>
      <c r="B183" s="21" t="s">
        <v>545</v>
      </c>
      <c r="C183" s="22" t="s">
        <v>546</v>
      </c>
      <c r="D183" s="23" t="s">
        <v>438</v>
      </c>
      <c r="E183" s="16">
        <v>180</v>
      </c>
      <c r="F183" s="47">
        <f t="shared" si="154"/>
        <v>53701</v>
      </c>
      <c r="G183" s="47">
        <f t="shared" si="155"/>
        <v>54000</v>
      </c>
      <c r="H183" s="50">
        <f t="shared" si="156"/>
        <v>340501</v>
      </c>
      <c r="I183" s="50">
        <f t="shared" si="149"/>
        <v>342000</v>
      </c>
      <c r="J183" s="50">
        <f t="shared" si="157"/>
        <v>268501</v>
      </c>
      <c r="K183" s="50">
        <f t="shared" ref="K183" si="210">J183+1500-1</f>
        <v>270000</v>
      </c>
      <c r="L183" s="50">
        <f t="shared" si="159"/>
        <v>1506001</v>
      </c>
      <c r="M183" s="50">
        <f t="shared" si="151"/>
        <v>1512000</v>
      </c>
      <c r="N183" s="51">
        <f t="shared" si="160"/>
        <v>5362501</v>
      </c>
      <c r="O183" s="51">
        <f t="shared" si="152"/>
        <v>5382000</v>
      </c>
      <c r="P183" s="52">
        <f t="shared" si="161"/>
        <v>16486501</v>
      </c>
      <c r="Q183" s="52">
        <f t="shared" si="153"/>
        <v>16542000</v>
      </c>
    </row>
    <row r="184" spans="1:17" s="3" customFormat="1" ht="30" customHeight="1">
      <c r="A184" s="24" t="s">
        <v>547</v>
      </c>
      <c r="B184" s="21" t="s">
        <v>548</v>
      </c>
      <c r="C184" s="22" t="s">
        <v>549</v>
      </c>
      <c r="D184" s="23" t="s">
        <v>438</v>
      </c>
      <c r="E184" s="16">
        <v>181</v>
      </c>
      <c r="F184" s="47">
        <f t="shared" si="154"/>
        <v>54001</v>
      </c>
      <c r="G184" s="47">
        <f t="shared" si="155"/>
        <v>54300</v>
      </c>
      <c r="H184" s="50">
        <f t="shared" si="156"/>
        <v>342001</v>
      </c>
      <c r="I184" s="50">
        <f t="shared" si="149"/>
        <v>343500</v>
      </c>
      <c r="J184" s="50">
        <f t="shared" si="157"/>
        <v>270001</v>
      </c>
      <c r="K184" s="50">
        <f t="shared" ref="K184" si="211">J184+1500-1</f>
        <v>271500</v>
      </c>
      <c r="L184" s="50">
        <f t="shared" si="159"/>
        <v>1512001</v>
      </c>
      <c r="M184" s="50">
        <f t="shared" si="151"/>
        <v>1518000</v>
      </c>
      <c r="N184" s="51">
        <f t="shared" si="160"/>
        <v>5382001</v>
      </c>
      <c r="O184" s="51">
        <f t="shared" si="152"/>
        <v>5401500</v>
      </c>
      <c r="P184" s="52">
        <f t="shared" si="161"/>
        <v>16542001</v>
      </c>
      <c r="Q184" s="52">
        <f t="shared" si="153"/>
        <v>16597500</v>
      </c>
    </row>
    <row r="185" spans="1:17" s="3" customFormat="1" ht="30" customHeight="1">
      <c r="A185" s="24" t="s">
        <v>550</v>
      </c>
      <c r="B185" s="21" t="s">
        <v>551</v>
      </c>
      <c r="C185" s="22" t="s">
        <v>552</v>
      </c>
      <c r="D185" s="23" t="s">
        <v>438</v>
      </c>
      <c r="E185" s="16">
        <v>182</v>
      </c>
      <c r="F185" s="47">
        <f t="shared" si="154"/>
        <v>54301</v>
      </c>
      <c r="G185" s="47">
        <f t="shared" si="155"/>
        <v>54600</v>
      </c>
      <c r="H185" s="50">
        <f t="shared" si="156"/>
        <v>343501</v>
      </c>
      <c r="I185" s="50">
        <f t="shared" si="149"/>
        <v>345000</v>
      </c>
      <c r="J185" s="50">
        <f t="shared" si="157"/>
        <v>271501</v>
      </c>
      <c r="K185" s="50">
        <f t="shared" ref="K185" si="212">J185+1500-1</f>
        <v>273000</v>
      </c>
      <c r="L185" s="50">
        <f t="shared" si="159"/>
        <v>1518001</v>
      </c>
      <c r="M185" s="50">
        <f t="shared" si="151"/>
        <v>1524000</v>
      </c>
      <c r="N185" s="51">
        <f t="shared" si="160"/>
        <v>5401501</v>
      </c>
      <c r="O185" s="51">
        <f t="shared" si="152"/>
        <v>5421000</v>
      </c>
      <c r="P185" s="52">
        <f t="shared" si="161"/>
        <v>16597501</v>
      </c>
      <c r="Q185" s="52">
        <f t="shared" si="153"/>
        <v>16653000</v>
      </c>
    </row>
    <row r="186" spans="1:17" s="3" customFormat="1" ht="30" customHeight="1">
      <c r="A186" s="24" t="s">
        <v>553</v>
      </c>
      <c r="B186" s="21" t="s">
        <v>554</v>
      </c>
      <c r="C186" s="22" t="s">
        <v>555</v>
      </c>
      <c r="D186" s="23" t="s">
        <v>438</v>
      </c>
      <c r="E186" s="16">
        <v>183</v>
      </c>
      <c r="F186" s="47">
        <f t="shared" si="154"/>
        <v>54601</v>
      </c>
      <c r="G186" s="47">
        <f t="shared" si="155"/>
        <v>54900</v>
      </c>
      <c r="H186" s="50">
        <f t="shared" si="156"/>
        <v>345001</v>
      </c>
      <c r="I186" s="50">
        <f t="shared" si="149"/>
        <v>346500</v>
      </c>
      <c r="J186" s="50">
        <f t="shared" si="157"/>
        <v>273001</v>
      </c>
      <c r="K186" s="50">
        <f t="shared" ref="K186" si="213">J186+1500-1</f>
        <v>274500</v>
      </c>
      <c r="L186" s="50">
        <f t="shared" si="159"/>
        <v>1524001</v>
      </c>
      <c r="M186" s="50">
        <f t="shared" si="151"/>
        <v>1530000</v>
      </c>
      <c r="N186" s="51">
        <f t="shared" si="160"/>
        <v>5421001</v>
      </c>
      <c r="O186" s="51">
        <f t="shared" si="152"/>
        <v>5440500</v>
      </c>
      <c r="P186" s="52">
        <f t="shared" si="161"/>
        <v>16653001</v>
      </c>
      <c r="Q186" s="52">
        <f t="shared" si="153"/>
        <v>16708500</v>
      </c>
    </row>
    <row r="187" spans="1:17" s="3" customFormat="1" ht="30" customHeight="1">
      <c r="A187" s="20" t="s">
        <v>556</v>
      </c>
      <c r="B187" s="21" t="s">
        <v>557</v>
      </c>
      <c r="C187" s="22" t="s">
        <v>558</v>
      </c>
      <c r="D187" s="23" t="s">
        <v>438</v>
      </c>
      <c r="E187" s="16">
        <v>184</v>
      </c>
      <c r="F187" s="47">
        <f t="shared" si="154"/>
        <v>54901</v>
      </c>
      <c r="G187" s="47">
        <f t="shared" si="155"/>
        <v>55200</v>
      </c>
      <c r="H187" s="50">
        <f t="shared" si="156"/>
        <v>346501</v>
      </c>
      <c r="I187" s="50">
        <f t="shared" si="149"/>
        <v>348000</v>
      </c>
      <c r="J187" s="50">
        <f t="shared" si="157"/>
        <v>274501</v>
      </c>
      <c r="K187" s="50">
        <f t="shared" ref="K187" si="214">J187+1500-1</f>
        <v>276000</v>
      </c>
      <c r="L187" s="50">
        <f t="shared" si="159"/>
        <v>1530001</v>
      </c>
      <c r="M187" s="50">
        <f t="shared" si="151"/>
        <v>1536000</v>
      </c>
      <c r="N187" s="51">
        <f t="shared" si="160"/>
        <v>5440501</v>
      </c>
      <c r="O187" s="51">
        <f t="shared" si="152"/>
        <v>5460000</v>
      </c>
      <c r="P187" s="52">
        <f t="shared" si="161"/>
        <v>16708501</v>
      </c>
      <c r="Q187" s="52">
        <f t="shared" si="153"/>
        <v>16764000</v>
      </c>
    </row>
    <row r="188" spans="1:17" s="1" customFormat="1" ht="30" customHeight="1">
      <c r="A188" s="20" t="s">
        <v>559</v>
      </c>
      <c r="B188" s="21" t="s">
        <v>560</v>
      </c>
      <c r="C188" s="22" t="s">
        <v>561</v>
      </c>
      <c r="D188" s="23" t="s">
        <v>438</v>
      </c>
      <c r="E188" s="16">
        <v>185</v>
      </c>
      <c r="F188" s="47">
        <f t="shared" si="154"/>
        <v>55201</v>
      </c>
      <c r="G188" s="47">
        <f t="shared" si="155"/>
        <v>55500</v>
      </c>
      <c r="H188" s="50">
        <f t="shared" si="156"/>
        <v>348001</v>
      </c>
      <c r="I188" s="50">
        <f t="shared" si="149"/>
        <v>349500</v>
      </c>
      <c r="J188" s="50">
        <f t="shared" si="157"/>
        <v>276001</v>
      </c>
      <c r="K188" s="50">
        <f t="shared" ref="K188" si="215">J188+1500-1</f>
        <v>277500</v>
      </c>
      <c r="L188" s="50">
        <f t="shared" si="159"/>
        <v>1536001</v>
      </c>
      <c r="M188" s="50">
        <f t="shared" si="151"/>
        <v>1542000</v>
      </c>
      <c r="N188" s="51">
        <f t="shared" si="160"/>
        <v>5460001</v>
      </c>
      <c r="O188" s="51">
        <f t="shared" si="152"/>
        <v>5479500</v>
      </c>
      <c r="P188" s="47">
        <f t="shared" si="161"/>
        <v>16764001</v>
      </c>
      <c r="Q188" s="47">
        <f t="shared" si="153"/>
        <v>16819500</v>
      </c>
    </row>
    <row r="189" spans="1:17" s="1" customFormat="1" ht="30" customHeight="1">
      <c r="A189" s="20" t="s">
        <v>562</v>
      </c>
      <c r="B189" s="21" t="s">
        <v>563</v>
      </c>
      <c r="C189" s="22" t="s">
        <v>564</v>
      </c>
      <c r="D189" s="23" t="s">
        <v>438</v>
      </c>
      <c r="E189" s="16">
        <v>186</v>
      </c>
      <c r="F189" s="47">
        <f t="shared" si="154"/>
        <v>55501</v>
      </c>
      <c r="G189" s="47">
        <f t="shared" si="155"/>
        <v>55800</v>
      </c>
      <c r="H189" s="50">
        <f t="shared" si="156"/>
        <v>349501</v>
      </c>
      <c r="I189" s="50">
        <f t="shared" si="149"/>
        <v>351000</v>
      </c>
      <c r="J189" s="50">
        <f t="shared" si="157"/>
        <v>277501</v>
      </c>
      <c r="K189" s="50">
        <f t="shared" ref="K189" si="216">J189+1500-1</f>
        <v>279000</v>
      </c>
      <c r="L189" s="50">
        <f t="shared" si="159"/>
        <v>1542001</v>
      </c>
      <c r="M189" s="50">
        <f t="shared" si="151"/>
        <v>1548000</v>
      </c>
      <c r="N189" s="51">
        <f t="shared" si="160"/>
        <v>5479501</v>
      </c>
      <c r="O189" s="51">
        <f t="shared" si="152"/>
        <v>5499000</v>
      </c>
      <c r="P189" s="47">
        <f t="shared" si="161"/>
        <v>16819501</v>
      </c>
      <c r="Q189" s="47">
        <f t="shared" si="153"/>
        <v>16875000</v>
      </c>
    </row>
    <row r="190" spans="1:17" s="1" customFormat="1" ht="30" customHeight="1">
      <c r="A190" s="20" t="s">
        <v>565</v>
      </c>
      <c r="B190" s="21" t="s">
        <v>566</v>
      </c>
      <c r="C190" s="22" t="s">
        <v>567</v>
      </c>
      <c r="D190" s="23" t="s">
        <v>438</v>
      </c>
      <c r="E190" s="16">
        <v>187</v>
      </c>
      <c r="F190" s="47">
        <f t="shared" si="154"/>
        <v>55801</v>
      </c>
      <c r="G190" s="47">
        <f t="shared" si="155"/>
        <v>56100</v>
      </c>
      <c r="H190" s="50">
        <f t="shared" si="156"/>
        <v>351001</v>
      </c>
      <c r="I190" s="50">
        <f t="shared" si="149"/>
        <v>352500</v>
      </c>
      <c r="J190" s="50">
        <f t="shared" si="157"/>
        <v>279001</v>
      </c>
      <c r="K190" s="50">
        <f t="shared" ref="K190" si="217">J190+1500-1</f>
        <v>280500</v>
      </c>
      <c r="L190" s="50">
        <f t="shared" si="159"/>
        <v>1548001</v>
      </c>
      <c r="M190" s="50">
        <f t="shared" si="151"/>
        <v>1554000</v>
      </c>
      <c r="N190" s="51">
        <f t="shared" si="160"/>
        <v>5499001</v>
      </c>
      <c r="O190" s="51">
        <f t="shared" si="152"/>
        <v>5518500</v>
      </c>
      <c r="P190" s="47">
        <f t="shared" si="161"/>
        <v>16875001</v>
      </c>
      <c r="Q190" s="47">
        <f t="shared" si="153"/>
        <v>16930500</v>
      </c>
    </row>
    <row r="191" spans="1:17" s="1" customFormat="1" ht="30" customHeight="1">
      <c r="A191" s="24" t="s">
        <v>568</v>
      </c>
      <c r="B191" s="21" t="s">
        <v>569</v>
      </c>
      <c r="C191" s="22" t="s">
        <v>570</v>
      </c>
      <c r="D191" s="23" t="s">
        <v>438</v>
      </c>
      <c r="E191" s="16">
        <v>188</v>
      </c>
      <c r="F191" s="47">
        <f t="shared" si="154"/>
        <v>56101</v>
      </c>
      <c r="G191" s="47">
        <f t="shared" si="155"/>
        <v>56400</v>
      </c>
      <c r="H191" s="50">
        <f t="shared" si="156"/>
        <v>352501</v>
      </c>
      <c r="I191" s="50">
        <f t="shared" si="149"/>
        <v>354000</v>
      </c>
      <c r="J191" s="50">
        <f t="shared" si="157"/>
        <v>280501</v>
      </c>
      <c r="K191" s="50">
        <f t="shared" ref="K191" si="218">J191+1500-1</f>
        <v>282000</v>
      </c>
      <c r="L191" s="50">
        <f t="shared" si="159"/>
        <v>1554001</v>
      </c>
      <c r="M191" s="50">
        <f t="shared" si="151"/>
        <v>1560000</v>
      </c>
      <c r="N191" s="51">
        <f t="shared" si="160"/>
        <v>5518501</v>
      </c>
      <c r="O191" s="51">
        <f t="shared" si="152"/>
        <v>5538000</v>
      </c>
      <c r="P191" s="47">
        <f t="shared" si="161"/>
        <v>16930501</v>
      </c>
      <c r="Q191" s="47">
        <f t="shared" si="153"/>
        <v>16986000</v>
      </c>
    </row>
    <row r="192" spans="1:17" s="1" customFormat="1" ht="30" customHeight="1">
      <c r="A192" s="24" t="s">
        <v>571</v>
      </c>
      <c r="B192" s="21" t="s">
        <v>572</v>
      </c>
      <c r="C192" s="22" t="s">
        <v>573</v>
      </c>
      <c r="D192" s="23" t="s">
        <v>438</v>
      </c>
      <c r="E192" s="16">
        <v>189</v>
      </c>
      <c r="F192" s="47">
        <f t="shared" si="154"/>
        <v>56401</v>
      </c>
      <c r="G192" s="47">
        <f t="shared" si="155"/>
        <v>56700</v>
      </c>
      <c r="H192" s="50">
        <f t="shared" si="156"/>
        <v>354001</v>
      </c>
      <c r="I192" s="50">
        <f t="shared" si="149"/>
        <v>355500</v>
      </c>
      <c r="J192" s="50">
        <f t="shared" si="157"/>
        <v>282001</v>
      </c>
      <c r="K192" s="50">
        <f t="shared" ref="K192" si="219">J192+1500-1</f>
        <v>283500</v>
      </c>
      <c r="L192" s="50">
        <f t="shared" si="159"/>
        <v>1560001</v>
      </c>
      <c r="M192" s="50">
        <f t="shared" si="151"/>
        <v>1566000</v>
      </c>
      <c r="N192" s="51">
        <f t="shared" si="160"/>
        <v>5538001</v>
      </c>
      <c r="O192" s="51">
        <f t="shared" si="152"/>
        <v>5557500</v>
      </c>
      <c r="P192" s="47">
        <f t="shared" si="161"/>
        <v>16986001</v>
      </c>
      <c r="Q192" s="47">
        <f t="shared" si="153"/>
        <v>17041500</v>
      </c>
    </row>
    <row r="193" spans="1:17" s="1" customFormat="1" ht="30" customHeight="1">
      <c r="A193" s="24" t="s">
        <v>574</v>
      </c>
      <c r="B193" s="21" t="s">
        <v>575</v>
      </c>
      <c r="C193" s="22" t="s">
        <v>576</v>
      </c>
      <c r="D193" s="23" t="s">
        <v>438</v>
      </c>
      <c r="E193" s="16">
        <v>190</v>
      </c>
      <c r="F193" s="47">
        <f t="shared" si="154"/>
        <v>56701</v>
      </c>
      <c r="G193" s="47">
        <f t="shared" si="155"/>
        <v>57000</v>
      </c>
      <c r="H193" s="50">
        <f t="shared" si="156"/>
        <v>355501</v>
      </c>
      <c r="I193" s="50">
        <f t="shared" si="149"/>
        <v>357000</v>
      </c>
      <c r="J193" s="50">
        <f t="shared" si="157"/>
        <v>283501</v>
      </c>
      <c r="K193" s="50">
        <f t="shared" ref="K193" si="220">J193+1500-1</f>
        <v>285000</v>
      </c>
      <c r="L193" s="50">
        <f t="shared" si="159"/>
        <v>1566001</v>
      </c>
      <c r="M193" s="50">
        <f t="shared" si="151"/>
        <v>1572000</v>
      </c>
      <c r="N193" s="51">
        <f t="shared" si="160"/>
        <v>5557501</v>
      </c>
      <c r="O193" s="51">
        <f t="shared" si="152"/>
        <v>5577000</v>
      </c>
      <c r="P193" s="47">
        <f t="shared" si="161"/>
        <v>17041501</v>
      </c>
      <c r="Q193" s="47">
        <f t="shared" si="153"/>
        <v>17097000</v>
      </c>
    </row>
    <row r="194" spans="1:17" s="1" customFormat="1" ht="30" customHeight="1">
      <c r="A194" s="24" t="s">
        <v>577</v>
      </c>
      <c r="B194" s="21" t="s">
        <v>578</v>
      </c>
      <c r="C194" s="22" t="s">
        <v>579</v>
      </c>
      <c r="D194" s="23" t="s">
        <v>438</v>
      </c>
      <c r="E194" s="16">
        <v>191</v>
      </c>
      <c r="F194" s="47">
        <f t="shared" si="154"/>
        <v>57001</v>
      </c>
      <c r="G194" s="47">
        <f t="shared" si="155"/>
        <v>57300</v>
      </c>
      <c r="H194" s="50">
        <f t="shared" si="156"/>
        <v>357001</v>
      </c>
      <c r="I194" s="50">
        <f t="shared" si="149"/>
        <v>358500</v>
      </c>
      <c r="J194" s="50">
        <f t="shared" si="157"/>
        <v>285001</v>
      </c>
      <c r="K194" s="50">
        <f t="shared" ref="K194" si="221">J194+1500-1</f>
        <v>286500</v>
      </c>
      <c r="L194" s="50">
        <f t="shared" si="159"/>
        <v>1572001</v>
      </c>
      <c r="M194" s="50">
        <f t="shared" si="151"/>
        <v>1578000</v>
      </c>
      <c r="N194" s="51">
        <f t="shared" si="160"/>
        <v>5577001</v>
      </c>
      <c r="O194" s="51">
        <f t="shared" si="152"/>
        <v>5596500</v>
      </c>
      <c r="P194" s="47">
        <f t="shared" si="161"/>
        <v>17097001</v>
      </c>
      <c r="Q194" s="47">
        <f t="shared" si="153"/>
        <v>17152500</v>
      </c>
    </row>
    <row r="195" spans="1:17" s="1" customFormat="1" ht="30" customHeight="1">
      <c r="A195" s="20" t="s">
        <v>580</v>
      </c>
      <c r="B195" s="21" t="s">
        <v>581</v>
      </c>
      <c r="C195" s="22" t="s">
        <v>582</v>
      </c>
      <c r="D195" s="23" t="s">
        <v>438</v>
      </c>
      <c r="E195" s="16">
        <v>192</v>
      </c>
      <c r="F195" s="47">
        <f t="shared" si="154"/>
        <v>57301</v>
      </c>
      <c r="G195" s="47">
        <f t="shared" si="155"/>
        <v>57600</v>
      </c>
      <c r="H195" s="50">
        <f t="shared" si="156"/>
        <v>358501</v>
      </c>
      <c r="I195" s="50">
        <f t="shared" si="149"/>
        <v>360000</v>
      </c>
      <c r="J195" s="50">
        <f t="shared" si="157"/>
        <v>286501</v>
      </c>
      <c r="K195" s="67">
        <f t="shared" ref="K195" si="222">J195+1500-1</f>
        <v>288000</v>
      </c>
      <c r="L195" s="50">
        <f t="shared" si="159"/>
        <v>1578001</v>
      </c>
      <c r="M195" s="50">
        <f t="shared" si="151"/>
        <v>1584000</v>
      </c>
      <c r="N195" s="51">
        <f t="shared" si="160"/>
        <v>5596501</v>
      </c>
      <c r="O195" s="51">
        <f t="shared" si="152"/>
        <v>5616000</v>
      </c>
      <c r="P195" s="47">
        <f t="shared" si="161"/>
        <v>17152501</v>
      </c>
      <c r="Q195" s="47">
        <f t="shared" si="153"/>
        <v>17208000</v>
      </c>
    </row>
    <row r="196" spans="1:17" s="1" customFormat="1" ht="30" customHeight="1">
      <c r="A196" s="20" t="s">
        <v>583</v>
      </c>
      <c r="B196" s="21" t="s">
        <v>584</v>
      </c>
      <c r="C196" s="22" t="s">
        <v>585</v>
      </c>
      <c r="D196" s="23" t="s">
        <v>438</v>
      </c>
      <c r="E196" s="16">
        <v>193</v>
      </c>
      <c r="F196" s="47">
        <f t="shared" si="154"/>
        <v>57601</v>
      </c>
      <c r="G196" s="47">
        <f t="shared" si="155"/>
        <v>57900</v>
      </c>
      <c r="H196" s="50">
        <f t="shared" si="156"/>
        <v>360001</v>
      </c>
      <c r="I196" s="50">
        <f t="shared" si="149"/>
        <v>361500</v>
      </c>
      <c r="J196" s="67">
        <f t="shared" si="157"/>
        <v>288001</v>
      </c>
      <c r="K196" s="50">
        <f t="shared" ref="K196" si="223">J196+1500-1</f>
        <v>289500</v>
      </c>
      <c r="L196" s="49">
        <f t="shared" si="159"/>
        <v>1584001</v>
      </c>
      <c r="M196" s="49">
        <f t="shared" si="151"/>
        <v>1590000</v>
      </c>
      <c r="N196" s="51">
        <f t="shared" si="160"/>
        <v>5616001</v>
      </c>
      <c r="O196" s="51">
        <f t="shared" si="152"/>
        <v>5635500</v>
      </c>
      <c r="P196" s="52">
        <f t="shared" si="161"/>
        <v>17208001</v>
      </c>
      <c r="Q196" s="52">
        <f t="shared" si="153"/>
        <v>17263500</v>
      </c>
    </row>
    <row r="197" spans="1:17" s="1" customFormat="1" ht="30" customHeight="1">
      <c r="A197" s="20" t="s">
        <v>586</v>
      </c>
      <c r="B197" s="21" t="s">
        <v>587</v>
      </c>
      <c r="C197" s="22" t="s">
        <v>588</v>
      </c>
      <c r="D197" s="23" t="s">
        <v>438</v>
      </c>
      <c r="E197" s="16">
        <v>194</v>
      </c>
      <c r="F197" s="47">
        <f t="shared" si="154"/>
        <v>57901</v>
      </c>
      <c r="G197" s="47">
        <f t="shared" si="155"/>
        <v>58200</v>
      </c>
      <c r="H197" s="50">
        <f t="shared" si="156"/>
        <v>361501</v>
      </c>
      <c r="I197" s="50">
        <f t="shared" ref="I197:I243" si="224">H197+1500-1</f>
        <v>363000</v>
      </c>
      <c r="J197" s="50">
        <f t="shared" si="157"/>
        <v>289501</v>
      </c>
      <c r="K197" s="50">
        <f t="shared" ref="K197" si="225">J197+1500-1</f>
        <v>291000</v>
      </c>
      <c r="L197" s="49">
        <f t="shared" si="159"/>
        <v>1590001</v>
      </c>
      <c r="M197" s="49">
        <f t="shared" ref="M197:M243" si="226">L197+6000-1</f>
        <v>1596000</v>
      </c>
      <c r="N197" s="51">
        <f t="shared" si="160"/>
        <v>5635501</v>
      </c>
      <c r="O197" s="51">
        <f t="shared" ref="O197:O243" si="227">N197+19500-1</f>
        <v>5655000</v>
      </c>
      <c r="P197" s="52">
        <f t="shared" si="161"/>
        <v>17263501</v>
      </c>
      <c r="Q197" s="52">
        <f t="shared" ref="Q197:Q243" si="228">P197+55500-1</f>
        <v>17319000</v>
      </c>
    </row>
    <row r="198" spans="1:17" s="1" customFormat="1" ht="30" customHeight="1">
      <c r="A198" s="20" t="s">
        <v>589</v>
      </c>
      <c r="B198" s="21" t="s">
        <v>590</v>
      </c>
      <c r="C198" s="22" t="s">
        <v>591</v>
      </c>
      <c r="D198" s="23" t="s">
        <v>438</v>
      </c>
      <c r="E198" s="16">
        <v>195</v>
      </c>
      <c r="F198" s="47">
        <f t="shared" ref="F198:F243" si="229">G197+1</f>
        <v>58201</v>
      </c>
      <c r="G198" s="47">
        <f t="shared" ref="G198:G243" si="230">F198+300-1</f>
        <v>58500</v>
      </c>
      <c r="H198" s="50">
        <f t="shared" ref="H198:H243" si="231">I197+1</f>
        <v>363001</v>
      </c>
      <c r="I198" s="50">
        <f t="shared" si="224"/>
        <v>364500</v>
      </c>
      <c r="J198" s="50">
        <f t="shared" ref="J198:J243" si="232">K197+1</f>
        <v>291001</v>
      </c>
      <c r="K198" s="50">
        <f t="shared" ref="K198" si="233">J198+1500-1</f>
        <v>292500</v>
      </c>
      <c r="L198" s="49">
        <f t="shared" ref="L198:L243" si="234">M197+1</f>
        <v>1596001</v>
      </c>
      <c r="M198" s="49">
        <f t="shared" si="226"/>
        <v>1602000</v>
      </c>
      <c r="N198" s="51">
        <f t="shared" ref="N198:N243" si="235">O197+1</f>
        <v>5655001</v>
      </c>
      <c r="O198" s="51">
        <f t="shared" si="227"/>
        <v>5674500</v>
      </c>
      <c r="P198" s="52">
        <f t="shared" ref="P198:P243" si="236">Q197+1</f>
        <v>17319001</v>
      </c>
      <c r="Q198" s="52">
        <f t="shared" si="228"/>
        <v>17374500</v>
      </c>
    </row>
    <row r="199" spans="1:17" s="1" customFormat="1" ht="30" customHeight="1">
      <c r="A199" s="24" t="s">
        <v>592</v>
      </c>
      <c r="B199" s="21" t="s">
        <v>593</v>
      </c>
      <c r="C199" s="22" t="s">
        <v>594</v>
      </c>
      <c r="D199" s="23" t="s">
        <v>438</v>
      </c>
      <c r="E199" s="16">
        <v>196</v>
      </c>
      <c r="F199" s="47">
        <f t="shared" si="229"/>
        <v>58501</v>
      </c>
      <c r="G199" s="47">
        <f t="shared" si="230"/>
        <v>58800</v>
      </c>
      <c r="H199" s="50">
        <f t="shared" si="231"/>
        <v>364501</v>
      </c>
      <c r="I199" s="50">
        <f t="shared" si="224"/>
        <v>366000</v>
      </c>
      <c r="J199" s="50">
        <f t="shared" si="232"/>
        <v>292501</v>
      </c>
      <c r="K199" s="50">
        <f t="shared" ref="K199" si="237">J199+1500-1</f>
        <v>294000</v>
      </c>
      <c r="L199" s="49">
        <f t="shared" si="234"/>
        <v>1602001</v>
      </c>
      <c r="M199" s="49">
        <f t="shared" si="226"/>
        <v>1608000</v>
      </c>
      <c r="N199" s="51">
        <f t="shared" si="235"/>
        <v>5674501</v>
      </c>
      <c r="O199" s="51">
        <f t="shared" si="227"/>
        <v>5694000</v>
      </c>
      <c r="P199" s="52">
        <f t="shared" si="236"/>
        <v>17374501</v>
      </c>
      <c r="Q199" s="52">
        <f t="shared" si="228"/>
        <v>17430000</v>
      </c>
    </row>
    <row r="200" spans="1:17" s="1" customFormat="1" ht="30" customHeight="1">
      <c r="A200" s="24" t="s">
        <v>595</v>
      </c>
      <c r="B200" s="21" t="s">
        <v>596</v>
      </c>
      <c r="C200" s="22" t="s">
        <v>597</v>
      </c>
      <c r="D200" s="23" t="s">
        <v>438</v>
      </c>
      <c r="E200" s="16">
        <v>197</v>
      </c>
      <c r="F200" s="47">
        <f t="shared" si="229"/>
        <v>58801</v>
      </c>
      <c r="G200" s="47">
        <f t="shared" si="230"/>
        <v>59100</v>
      </c>
      <c r="H200" s="50">
        <f t="shared" si="231"/>
        <v>366001</v>
      </c>
      <c r="I200" s="50">
        <f t="shared" si="224"/>
        <v>367500</v>
      </c>
      <c r="J200" s="50">
        <f t="shared" si="232"/>
        <v>294001</v>
      </c>
      <c r="K200" s="50">
        <f t="shared" ref="K200" si="238">J200+1500-1</f>
        <v>295500</v>
      </c>
      <c r="L200" s="49">
        <f t="shared" si="234"/>
        <v>1608001</v>
      </c>
      <c r="M200" s="49">
        <f t="shared" si="226"/>
        <v>1614000</v>
      </c>
      <c r="N200" s="51">
        <f t="shared" si="235"/>
        <v>5694001</v>
      </c>
      <c r="O200" s="51">
        <f t="shared" si="227"/>
        <v>5713500</v>
      </c>
      <c r="P200" s="52">
        <f t="shared" si="236"/>
        <v>17430001</v>
      </c>
      <c r="Q200" s="52">
        <f t="shared" si="228"/>
        <v>17485500</v>
      </c>
    </row>
    <row r="201" spans="1:17" s="1" customFormat="1" ht="30" customHeight="1">
      <c r="A201" s="24" t="s">
        <v>598</v>
      </c>
      <c r="B201" s="21" t="s">
        <v>599</v>
      </c>
      <c r="C201" s="22" t="s">
        <v>600</v>
      </c>
      <c r="D201" s="23" t="s">
        <v>438</v>
      </c>
      <c r="E201" s="16">
        <v>198</v>
      </c>
      <c r="F201" s="47">
        <f t="shared" si="229"/>
        <v>59101</v>
      </c>
      <c r="G201" s="47">
        <f t="shared" si="230"/>
        <v>59400</v>
      </c>
      <c r="H201" s="50">
        <f t="shared" si="231"/>
        <v>367501</v>
      </c>
      <c r="I201" s="50">
        <f t="shared" si="224"/>
        <v>369000</v>
      </c>
      <c r="J201" s="50">
        <f t="shared" si="232"/>
        <v>295501</v>
      </c>
      <c r="K201" s="50">
        <f t="shared" ref="K201" si="239">J201+1500-1</f>
        <v>297000</v>
      </c>
      <c r="L201" s="49">
        <f t="shared" si="234"/>
        <v>1614001</v>
      </c>
      <c r="M201" s="49">
        <f t="shared" si="226"/>
        <v>1620000</v>
      </c>
      <c r="N201" s="51">
        <f t="shared" si="235"/>
        <v>5713501</v>
      </c>
      <c r="O201" s="51">
        <f t="shared" si="227"/>
        <v>5733000</v>
      </c>
      <c r="P201" s="52">
        <f t="shared" si="236"/>
        <v>17485501</v>
      </c>
      <c r="Q201" s="52">
        <f t="shared" si="228"/>
        <v>17541000</v>
      </c>
    </row>
    <row r="202" spans="1:17" s="1" customFormat="1" ht="30" customHeight="1">
      <c r="A202" s="24" t="s">
        <v>601</v>
      </c>
      <c r="B202" s="21" t="s">
        <v>602</v>
      </c>
      <c r="C202" s="22" t="s">
        <v>603</v>
      </c>
      <c r="D202" s="23" t="s">
        <v>438</v>
      </c>
      <c r="E202" s="16">
        <v>199</v>
      </c>
      <c r="F202" s="47">
        <f t="shared" si="229"/>
        <v>59401</v>
      </c>
      <c r="G202" s="47">
        <f t="shared" si="230"/>
        <v>59700</v>
      </c>
      <c r="H202" s="50">
        <f t="shared" si="231"/>
        <v>369001</v>
      </c>
      <c r="I202" s="50">
        <f t="shared" si="224"/>
        <v>370500</v>
      </c>
      <c r="J202" s="50">
        <f t="shared" si="232"/>
        <v>297001</v>
      </c>
      <c r="K202" s="50">
        <f t="shared" ref="K202" si="240">J202+1500-1</f>
        <v>298500</v>
      </c>
      <c r="L202" s="49">
        <f t="shared" si="234"/>
        <v>1620001</v>
      </c>
      <c r="M202" s="49">
        <f t="shared" si="226"/>
        <v>1626000</v>
      </c>
      <c r="N202" s="51">
        <f t="shared" si="235"/>
        <v>5733001</v>
      </c>
      <c r="O202" s="51">
        <f t="shared" si="227"/>
        <v>5752500</v>
      </c>
      <c r="P202" s="52">
        <f t="shared" si="236"/>
        <v>17541001</v>
      </c>
      <c r="Q202" s="52">
        <f t="shared" si="228"/>
        <v>17596500</v>
      </c>
    </row>
    <row r="203" spans="1:17" s="1" customFormat="1" ht="30" customHeight="1">
      <c r="A203" s="20" t="s">
        <v>604</v>
      </c>
      <c r="B203" s="21" t="s">
        <v>605</v>
      </c>
      <c r="C203" s="22" t="s">
        <v>606</v>
      </c>
      <c r="D203" s="23" t="s">
        <v>438</v>
      </c>
      <c r="E203" s="16">
        <v>200</v>
      </c>
      <c r="F203" s="47">
        <f t="shared" si="229"/>
        <v>59701</v>
      </c>
      <c r="G203" s="47">
        <f t="shared" si="230"/>
        <v>60000</v>
      </c>
      <c r="H203" s="50">
        <f t="shared" si="231"/>
        <v>370501</v>
      </c>
      <c r="I203" s="50">
        <f t="shared" si="224"/>
        <v>372000</v>
      </c>
      <c r="J203" s="50">
        <f t="shared" si="232"/>
        <v>298501</v>
      </c>
      <c r="K203" s="68">
        <f t="shared" ref="K203" si="241">J203+1500-1</f>
        <v>300000</v>
      </c>
      <c r="L203" s="49">
        <f t="shared" si="234"/>
        <v>1626001</v>
      </c>
      <c r="M203" s="49">
        <f t="shared" si="226"/>
        <v>1632000</v>
      </c>
      <c r="N203" s="51">
        <f t="shared" si="235"/>
        <v>5752501</v>
      </c>
      <c r="O203" s="51">
        <f t="shared" si="227"/>
        <v>5772000</v>
      </c>
      <c r="P203" s="52">
        <f t="shared" si="236"/>
        <v>17596501</v>
      </c>
      <c r="Q203" s="52">
        <f t="shared" si="228"/>
        <v>17652000</v>
      </c>
    </row>
    <row r="204" spans="1:17" s="1" customFormat="1" ht="30" customHeight="1">
      <c r="A204" s="20" t="s">
        <v>607</v>
      </c>
      <c r="B204" s="21" t="s">
        <v>608</v>
      </c>
      <c r="C204" s="22" t="s">
        <v>609</v>
      </c>
      <c r="D204" s="23" t="s">
        <v>438</v>
      </c>
      <c r="E204" s="16">
        <v>201</v>
      </c>
      <c r="F204" s="47">
        <f t="shared" si="229"/>
        <v>60001</v>
      </c>
      <c r="G204" s="47">
        <f t="shared" si="230"/>
        <v>60300</v>
      </c>
      <c r="H204" s="50">
        <f t="shared" si="231"/>
        <v>372001</v>
      </c>
      <c r="I204" s="50">
        <f t="shared" si="224"/>
        <v>373500</v>
      </c>
      <c r="J204" s="68">
        <f t="shared" si="232"/>
        <v>300001</v>
      </c>
      <c r="K204" s="50">
        <f t="shared" ref="K204" si="242">J204+1500-1</f>
        <v>301500</v>
      </c>
      <c r="L204" s="49">
        <f t="shared" si="234"/>
        <v>1632001</v>
      </c>
      <c r="M204" s="49">
        <f t="shared" si="226"/>
        <v>1638000</v>
      </c>
      <c r="N204" s="50">
        <f t="shared" si="235"/>
        <v>5772001</v>
      </c>
      <c r="O204" s="50">
        <f t="shared" si="227"/>
        <v>5791500</v>
      </c>
      <c r="P204" s="47">
        <f t="shared" si="236"/>
        <v>17652001</v>
      </c>
      <c r="Q204" s="47">
        <f t="shared" si="228"/>
        <v>17707500</v>
      </c>
    </row>
    <row r="205" spans="1:17" s="1" customFormat="1" ht="30" customHeight="1">
      <c r="A205" s="20" t="s">
        <v>610</v>
      </c>
      <c r="B205" s="21" t="s">
        <v>611</v>
      </c>
      <c r="C205" s="22" t="s">
        <v>612</v>
      </c>
      <c r="D205" s="23" t="s">
        <v>438</v>
      </c>
      <c r="E205" s="16">
        <v>202</v>
      </c>
      <c r="F205" s="47">
        <f t="shared" si="229"/>
        <v>60301</v>
      </c>
      <c r="G205" s="47">
        <f t="shared" si="230"/>
        <v>60600</v>
      </c>
      <c r="H205" s="50">
        <f t="shared" si="231"/>
        <v>373501</v>
      </c>
      <c r="I205" s="50">
        <f t="shared" si="224"/>
        <v>375000</v>
      </c>
      <c r="J205" s="50">
        <f t="shared" si="232"/>
        <v>301501</v>
      </c>
      <c r="K205" s="50">
        <f t="shared" ref="K205" si="243">J205+1500-1</f>
        <v>303000</v>
      </c>
      <c r="L205" s="49">
        <f t="shared" si="234"/>
        <v>1638001</v>
      </c>
      <c r="M205" s="49">
        <f t="shared" si="226"/>
        <v>1644000</v>
      </c>
      <c r="N205" s="50">
        <f t="shared" si="235"/>
        <v>5791501</v>
      </c>
      <c r="O205" s="50">
        <f t="shared" si="227"/>
        <v>5811000</v>
      </c>
      <c r="P205" s="47">
        <f t="shared" si="236"/>
        <v>17707501</v>
      </c>
      <c r="Q205" s="47">
        <f t="shared" si="228"/>
        <v>17763000</v>
      </c>
    </row>
    <row r="206" spans="1:17" s="1" customFormat="1" ht="30" customHeight="1">
      <c r="A206" s="20" t="s">
        <v>613</v>
      </c>
      <c r="B206" s="21" t="s">
        <v>614</v>
      </c>
      <c r="C206" s="22" t="s">
        <v>615</v>
      </c>
      <c r="D206" s="23" t="s">
        <v>438</v>
      </c>
      <c r="E206" s="16">
        <v>203</v>
      </c>
      <c r="F206" s="47">
        <f t="shared" si="229"/>
        <v>60601</v>
      </c>
      <c r="G206" s="47">
        <f t="shared" si="230"/>
        <v>60900</v>
      </c>
      <c r="H206" s="50">
        <f t="shared" si="231"/>
        <v>375001</v>
      </c>
      <c r="I206" s="50">
        <f t="shared" si="224"/>
        <v>376500</v>
      </c>
      <c r="J206" s="50">
        <f t="shared" si="232"/>
        <v>303001</v>
      </c>
      <c r="K206" s="50">
        <f t="shared" ref="K206" si="244">J206+1500-1</f>
        <v>304500</v>
      </c>
      <c r="L206" s="49">
        <f t="shared" si="234"/>
        <v>1644001</v>
      </c>
      <c r="M206" s="49">
        <f t="shared" si="226"/>
        <v>1650000</v>
      </c>
      <c r="N206" s="50">
        <f t="shared" si="235"/>
        <v>5811001</v>
      </c>
      <c r="O206" s="50">
        <f t="shared" si="227"/>
        <v>5830500</v>
      </c>
      <c r="P206" s="47">
        <f t="shared" si="236"/>
        <v>17763001</v>
      </c>
      <c r="Q206" s="47">
        <f t="shared" si="228"/>
        <v>17818500</v>
      </c>
    </row>
    <row r="207" spans="1:17" s="1" customFormat="1" ht="30" customHeight="1">
      <c r="A207" s="24" t="s">
        <v>616</v>
      </c>
      <c r="B207" s="21" t="s">
        <v>617</v>
      </c>
      <c r="C207" s="22" t="s">
        <v>618</v>
      </c>
      <c r="D207" s="23" t="s">
        <v>438</v>
      </c>
      <c r="E207" s="16">
        <v>204</v>
      </c>
      <c r="F207" s="47">
        <f t="shared" si="229"/>
        <v>60901</v>
      </c>
      <c r="G207" s="47">
        <f t="shared" si="230"/>
        <v>61200</v>
      </c>
      <c r="H207" s="50">
        <f t="shared" si="231"/>
        <v>376501</v>
      </c>
      <c r="I207" s="50">
        <f t="shared" si="224"/>
        <v>378000</v>
      </c>
      <c r="J207" s="50">
        <f t="shared" si="232"/>
        <v>304501</v>
      </c>
      <c r="K207" s="50">
        <f t="shared" ref="K207" si="245">J207+1500-1</f>
        <v>306000</v>
      </c>
      <c r="L207" s="49">
        <f t="shared" si="234"/>
        <v>1650001</v>
      </c>
      <c r="M207" s="49">
        <f t="shared" si="226"/>
        <v>1656000</v>
      </c>
      <c r="N207" s="50">
        <f t="shared" si="235"/>
        <v>5830501</v>
      </c>
      <c r="O207" s="50">
        <f t="shared" si="227"/>
        <v>5850000</v>
      </c>
      <c r="P207" s="47">
        <f t="shared" si="236"/>
        <v>17818501</v>
      </c>
      <c r="Q207" s="47">
        <f t="shared" si="228"/>
        <v>17874000</v>
      </c>
    </row>
    <row r="208" spans="1:17" s="1" customFormat="1" ht="30" customHeight="1">
      <c r="A208" s="24" t="s">
        <v>619</v>
      </c>
      <c r="B208" s="21" t="s">
        <v>620</v>
      </c>
      <c r="C208" s="22" t="s">
        <v>621</v>
      </c>
      <c r="D208" s="23" t="s">
        <v>438</v>
      </c>
      <c r="E208" s="16">
        <v>205</v>
      </c>
      <c r="F208" s="47">
        <f t="shared" si="229"/>
        <v>61201</v>
      </c>
      <c r="G208" s="47">
        <f t="shared" si="230"/>
        <v>61500</v>
      </c>
      <c r="H208" s="50">
        <f t="shared" si="231"/>
        <v>378001</v>
      </c>
      <c r="I208" s="50">
        <f t="shared" si="224"/>
        <v>379500</v>
      </c>
      <c r="J208" s="50">
        <f t="shared" si="232"/>
        <v>306001</v>
      </c>
      <c r="K208" s="50">
        <f t="shared" ref="K208" si="246">J208+1500-1</f>
        <v>307500</v>
      </c>
      <c r="L208" s="49">
        <f t="shared" si="234"/>
        <v>1656001</v>
      </c>
      <c r="M208" s="49">
        <f t="shared" si="226"/>
        <v>1662000</v>
      </c>
      <c r="N208" s="50">
        <f t="shared" si="235"/>
        <v>5850001</v>
      </c>
      <c r="O208" s="50">
        <f t="shared" si="227"/>
        <v>5869500</v>
      </c>
      <c r="P208" s="47">
        <f t="shared" si="236"/>
        <v>17874001</v>
      </c>
      <c r="Q208" s="47">
        <f t="shared" si="228"/>
        <v>17929500</v>
      </c>
    </row>
    <row r="209" spans="1:17" s="1" customFormat="1" ht="30" customHeight="1">
      <c r="A209" s="24" t="s">
        <v>622</v>
      </c>
      <c r="B209" s="21" t="s">
        <v>623</v>
      </c>
      <c r="C209" s="22" t="s">
        <v>624</v>
      </c>
      <c r="D209" s="23" t="s">
        <v>438</v>
      </c>
      <c r="E209" s="16">
        <v>206</v>
      </c>
      <c r="F209" s="47">
        <f t="shared" si="229"/>
        <v>61501</v>
      </c>
      <c r="G209" s="47">
        <f t="shared" si="230"/>
        <v>61800</v>
      </c>
      <c r="H209" s="50">
        <f t="shared" si="231"/>
        <v>379501</v>
      </c>
      <c r="I209" s="50">
        <f t="shared" si="224"/>
        <v>381000</v>
      </c>
      <c r="J209" s="50">
        <f t="shared" si="232"/>
        <v>307501</v>
      </c>
      <c r="K209" s="50">
        <f t="shared" ref="K209" si="247">J209+1500-1</f>
        <v>309000</v>
      </c>
      <c r="L209" s="49">
        <f t="shared" si="234"/>
        <v>1662001</v>
      </c>
      <c r="M209" s="49">
        <f t="shared" si="226"/>
        <v>1668000</v>
      </c>
      <c r="N209" s="50">
        <f t="shared" si="235"/>
        <v>5869501</v>
      </c>
      <c r="O209" s="50">
        <f t="shared" si="227"/>
        <v>5889000</v>
      </c>
      <c r="P209" s="47">
        <f t="shared" si="236"/>
        <v>17929501</v>
      </c>
      <c r="Q209" s="47">
        <f t="shared" si="228"/>
        <v>17985000</v>
      </c>
    </row>
    <row r="210" spans="1:17" s="1" customFormat="1" ht="30" customHeight="1">
      <c r="A210" s="24" t="s">
        <v>625</v>
      </c>
      <c r="B210" s="21" t="s">
        <v>626</v>
      </c>
      <c r="C210" s="22" t="s">
        <v>627</v>
      </c>
      <c r="D210" s="23" t="s">
        <v>438</v>
      </c>
      <c r="E210" s="16">
        <v>207</v>
      </c>
      <c r="F210" s="47">
        <f t="shared" si="229"/>
        <v>61801</v>
      </c>
      <c r="G210" s="47">
        <f t="shared" si="230"/>
        <v>62100</v>
      </c>
      <c r="H210" s="50">
        <f t="shared" si="231"/>
        <v>381001</v>
      </c>
      <c r="I210" s="50">
        <f t="shared" si="224"/>
        <v>382500</v>
      </c>
      <c r="J210" s="50">
        <f t="shared" si="232"/>
        <v>309001</v>
      </c>
      <c r="K210" s="50">
        <f t="shared" ref="K210" si="248">J210+1500-1</f>
        <v>310500</v>
      </c>
      <c r="L210" s="49">
        <f t="shared" si="234"/>
        <v>1668001</v>
      </c>
      <c r="M210" s="49">
        <f t="shared" si="226"/>
        <v>1674000</v>
      </c>
      <c r="N210" s="50">
        <f t="shared" si="235"/>
        <v>5889001</v>
      </c>
      <c r="O210" s="50">
        <f t="shared" si="227"/>
        <v>5908500</v>
      </c>
      <c r="P210" s="47">
        <f t="shared" si="236"/>
        <v>17985001</v>
      </c>
      <c r="Q210" s="47">
        <f t="shared" si="228"/>
        <v>18040500</v>
      </c>
    </row>
    <row r="211" spans="1:17" s="1" customFormat="1" ht="30" customHeight="1">
      <c r="A211" s="20" t="s">
        <v>628</v>
      </c>
      <c r="B211" s="21" t="s">
        <v>629</v>
      </c>
      <c r="C211" s="22" t="s">
        <v>630</v>
      </c>
      <c r="D211" s="23" t="s">
        <v>438</v>
      </c>
      <c r="E211" s="16">
        <v>208</v>
      </c>
      <c r="F211" s="47">
        <f t="shared" si="229"/>
        <v>62101</v>
      </c>
      <c r="G211" s="47">
        <f t="shared" si="230"/>
        <v>62400</v>
      </c>
      <c r="H211" s="50">
        <f t="shared" si="231"/>
        <v>382501</v>
      </c>
      <c r="I211" s="50">
        <f t="shared" si="224"/>
        <v>384000</v>
      </c>
      <c r="J211" s="50">
        <f t="shared" si="232"/>
        <v>310501</v>
      </c>
      <c r="K211" s="50">
        <f t="shared" ref="K211" si="249">J211+1500-1</f>
        <v>312000</v>
      </c>
      <c r="L211" s="49">
        <f t="shared" si="234"/>
        <v>1674001</v>
      </c>
      <c r="M211" s="49">
        <f t="shared" si="226"/>
        <v>1680000</v>
      </c>
      <c r="N211" s="50">
        <f t="shared" si="235"/>
        <v>5908501</v>
      </c>
      <c r="O211" s="50">
        <f t="shared" si="227"/>
        <v>5928000</v>
      </c>
      <c r="P211" s="47">
        <f t="shared" si="236"/>
        <v>18040501</v>
      </c>
      <c r="Q211" s="47">
        <f t="shared" si="228"/>
        <v>18096000</v>
      </c>
    </row>
    <row r="212" spans="1:17" s="1" customFormat="1" ht="30" customHeight="1">
      <c r="A212" s="20" t="s">
        <v>631</v>
      </c>
      <c r="B212" s="21" t="s">
        <v>632</v>
      </c>
      <c r="C212" s="22" t="s">
        <v>633</v>
      </c>
      <c r="D212" s="23" t="s">
        <v>438</v>
      </c>
      <c r="E212" s="16">
        <v>209</v>
      </c>
      <c r="F212" s="47">
        <f t="shared" si="229"/>
        <v>62401</v>
      </c>
      <c r="G212" s="47">
        <f t="shared" si="230"/>
        <v>62700</v>
      </c>
      <c r="H212" s="50">
        <f t="shared" si="231"/>
        <v>384001</v>
      </c>
      <c r="I212" s="50">
        <f t="shared" si="224"/>
        <v>385500</v>
      </c>
      <c r="J212" s="50">
        <f t="shared" si="232"/>
        <v>312001</v>
      </c>
      <c r="K212" s="50">
        <f t="shared" ref="K212" si="250">J212+1500-1</f>
        <v>313500</v>
      </c>
      <c r="L212" s="49">
        <f t="shared" si="234"/>
        <v>1680001</v>
      </c>
      <c r="M212" s="49">
        <f t="shared" si="226"/>
        <v>1686000</v>
      </c>
      <c r="N212" s="50">
        <f t="shared" si="235"/>
        <v>5928001</v>
      </c>
      <c r="O212" s="50">
        <f t="shared" si="227"/>
        <v>5947500</v>
      </c>
      <c r="P212" s="52">
        <f t="shared" si="236"/>
        <v>18096001</v>
      </c>
      <c r="Q212" s="52">
        <f t="shared" si="228"/>
        <v>18151500</v>
      </c>
    </row>
    <row r="213" spans="1:17" s="1" customFormat="1" ht="30" customHeight="1">
      <c r="A213" s="20" t="s">
        <v>634</v>
      </c>
      <c r="B213" s="21" t="s">
        <v>635</v>
      </c>
      <c r="C213" s="22" t="s">
        <v>636</v>
      </c>
      <c r="D213" s="23" t="s">
        <v>438</v>
      </c>
      <c r="E213" s="16">
        <v>210</v>
      </c>
      <c r="F213" s="47">
        <f t="shared" si="229"/>
        <v>62701</v>
      </c>
      <c r="G213" s="47">
        <f t="shared" si="230"/>
        <v>63000</v>
      </c>
      <c r="H213" s="50">
        <f t="shared" si="231"/>
        <v>385501</v>
      </c>
      <c r="I213" s="50">
        <f t="shared" si="224"/>
        <v>387000</v>
      </c>
      <c r="J213" s="50">
        <f t="shared" si="232"/>
        <v>313501</v>
      </c>
      <c r="K213" s="50">
        <f t="shared" ref="K213" si="251">J213+1500-1</f>
        <v>315000</v>
      </c>
      <c r="L213" s="49">
        <f t="shared" si="234"/>
        <v>1686001</v>
      </c>
      <c r="M213" s="49">
        <f t="shared" si="226"/>
        <v>1692000</v>
      </c>
      <c r="N213" s="50">
        <f t="shared" si="235"/>
        <v>5947501</v>
      </c>
      <c r="O213" s="50">
        <f t="shared" si="227"/>
        <v>5967000</v>
      </c>
      <c r="P213" s="52">
        <f t="shared" si="236"/>
        <v>18151501</v>
      </c>
      <c r="Q213" s="52">
        <f t="shared" si="228"/>
        <v>18207000</v>
      </c>
    </row>
    <row r="214" spans="1:17" s="1" customFormat="1" ht="30" customHeight="1">
      <c r="A214" s="20" t="s">
        <v>637</v>
      </c>
      <c r="B214" s="21" t="s">
        <v>638</v>
      </c>
      <c r="C214" s="22" t="s">
        <v>639</v>
      </c>
      <c r="D214" s="23" t="s">
        <v>438</v>
      </c>
      <c r="E214" s="16">
        <v>211</v>
      </c>
      <c r="F214" s="47">
        <f t="shared" si="229"/>
        <v>63001</v>
      </c>
      <c r="G214" s="47">
        <f t="shared" si="230"/>
        <v>63300</v>
      </c>
      <c r="H214" s="50">
        <f t="shared" si="231"/>
        <v>387001</v>
      </c>
      <c r="I214" s="50">
        <f t="shared" si="224"/>
        <v>388500</v>
      </c>
      <c r="J214" s="50">
        <f t="shared" si="232"/>
        <v>315001</v>
      </c>
      <c r="K214" s="50">
        <f t="shared" ref="K214" si="252">J214+1500-1</f>
        <v>316500</v>
      </c>
      <c r="L214" s="49">
        <f t="shared" si="234"/>
        <v>1692001</v>
      </c>
      <c r="M214" s="49">
        <f t="shared" si="226"/>
        <v>1698000</v>
      </c>
      <c r="N214" s="50">
        <f t="shared" si="235"/>
        <v>5967001</v>
      </c>
      <c r="O214" s="50">
        <f t="shared" si="227"/>
        <v>5986500</v>
      </c>
      <c r="P214" s="52">
        <f t="shared" si="236"/>
        <v>18207001</v>
      </c>
      <c r="Q214" s="52">
        <f t="shared" si="228"/>
        <v>18262500</v>
      </c>
    </row>
    <row r="215" spans="1:17" s="1" customFormat="1" ht="30" customHeight="1">
      <c r="A215" s="30" t="s">
        <v>640</v>
      </c>
      <c r="B215" s="31" t="s">
        <v>641</v>
      </c>
      <c r="C215" s="14" t="s">
        <v>642</v>
      </c>
      <c r="D215" s="15" t="s">
        <v>643</v>
      </c>
      <c r="E215" s="16">
        <v>212</v>
      </c>
      <c r="F215" s="47">
        <f t="shared" si="229"/>
        <v>63301</v>
      </c>
      <c r="G215" s="47">
        <f t="shared" si="230"/>
        <v>63600</v>
      </c>
      <c r="H215" s="50">
        <f t="shared" si="231"/>
        <v>388501</v>
      </c>
      <c r="I215" s="50">
        <f t="shared" si="224"/>
        <v>390000</v>
      </c>
      <c r="J215" s="50">
        <f t="shared" si="232"/>
        <v>316501</v>
      </c>
      <c r="K215" s="50">
        <f t="shared" ref="K215" si="253">J215+1500-1</f>
        <v>318000</v>
      </c>
      <c r="L215" s="49">
        <f t="shared" si="234"/>
        <v>1698001</v>
      </c>
      <c r="M215" s="49">
        <f t="shared" si="226"/>
        <v>1704000</v>
      </c>
      <c r="N215" s="50">
        <f t="shared" si="235"/>
        <v>5986501</v>
      </c>
      <c r="O215" s="50">
        <f t="shared" si="227"/>
        <v>6006000</v>
      </c>
      <c r="P215" s="52">
        <f t="shared" si="236"/>
        <v>18262501</v>
      </c>
      <c r="Q215" s="52">
        <f t="shared" si="228"/>
        <v>18318000</v>
      </c>
    </row>
    <row r="216" spans="1:17" s="1" customFormat="1" ht="30" customHeight="1">
      <c r="A216" s="30" t="s">
        <v>644</v>
      </c>
      <c r="B216" s="31" t="s">
        <v>645</v>
      </c>
      <c r="C216" s="14" t="s">
        <v>646</v>
      </c>
      <c r="D216" s="15" t="s">
        <v>643</v>
      </c>
      <c r="E216" s="16">
        <v>213</v>
      </c>
      <c r="F216" s="47">
        <f t="shared" si="229"/>
        <v>63601</v>
      </c>
      <c r="G216" s="47">
        <f t="shared" si="230"/>
        <v>63900</v>
      </c>
      <c r="H216" s="50">
        <f t="shared" si="231"/>
        <v>390001</v>
      </c>
      <c r="I216" s="50">
        <f t="shared" si="224"/>
        <v>391500</v>
      </c>
      <c r="J216" s="50">
        <f t="shared" si="232"/>
        <v>318001</v>
      </c>
      <c r="K216" s="50">
        <f t="shared" ref="K216" si="254">J216+1500-1</f>
        <v>319500</v>
      </c>
      <c r="L216" s="49">
        <f t="shared" si="234"/>
        <v>1704001</v>
      </c>
      <c r="M216" s="49">
        <f t="shared" si="226"/>
        <v>1710000</v>
      </c>
      <c r="N216" s="50">
        <f t="shared" si="235"/>
        <v>6006001</v>
      </c>
      <c r="O216" s="50">
        <f t="shared" si="227"/>
        <v>6025500</v>
      </c>
      <c r="P216" s="52">
        <f t="shared" si="236"/>
        <v>18318001</v>
      </c>
      <c r="Q216" s="52">
        <f t="shared" si="228"/>
        <v>18373500</v>
      </c>
    </row>
    <row r="217" spans="1:17" s="1" customFormat="1" ht="30" customHeight="1">
      <c r="A217" s="30" t="s">
        <v>647</v>
      </c>
      <c r="B217" s="31" t="s">
        <v>648</v>
      </c>
      <c r="C217" s="14" t="s">
        <v>649</v>
      </c>
      <c r="D217" s="15" t="s">
        <v>643</v>
      </c>
      <c r="E217" s="16">
        <v>214</v>
      </c>
      <c r="F217" s="47">
        <f t="shared" si="229"/>
        <v>63901</v>
      </c>
      <c r="G217" s="47">
        <f t="shared" si="230"/>
        <v>64200</v>
      </c>
      <c r="H217" s="50">
        <f t="shared" si="231"/>
        <v>391501</v>
      </c>
      <c r="I217" s="50">
        <f t="shared" si="224"/>
        <v>393000</v>
      </c>
      <c r="J217" s="50">
        <f t="shared" si="232"/>
        <v>319501</v>
      </c>
      <c r="K217" s="50">
        <f t="shared" ref="K217" si="255">J217+1500-1</f>
        <v>321000</v>
      </c>
      <c r="L217" s="49">
        <f t="shared" si="234"/>
        <v>1710001</v>
      </c>
      <c r="M217" s="49">
        <f t="shared" si="226"/>
        <v>1716000</v>
      </c>
      <c r="N217" s="50">
        <f t="shared" si="235"/>
        <v>6025501</v>
      </c>
      <c r="O217" s="50">
        <f t="shared" si="227"/>
        <v>6045000</v>
      </c>
      <c r="P217" s="52">
        <f t="shared" si="236"/>
        <v>18373501</v>
      </c>
      <c r="Q217" s="52">
        <f t="shared" si="228"/>
        <v>18429000</v>
      </c>
    </row>
    <row r="218" spans="1:17" s="1" customFormat="1" ht="30" customHeight="1">
      <c r="A218" s="30" t="s">
        <v>650</v>
      </c>
      <c r="B218" s="31" t="s">
        <v>651</v>
      </c>
      <c r="C218" s="14" t="s">
        <v>652</v>
      </c>
      <c r="D218" s="15" t="s">
        <v>643</v>
      </c>
      <c r="E218" s="16">
        <v>215</v>
      </c>
      <c r="F218" s="47">
        <f t="shared" si="229"/>
        <v>64201</v>
      </c>
      <c r="G218" s="47">
        <f t="shared" si="230"/>
        <v>64500</v>
      </c>
      <c r="H218" s="50">
        <f t="shared" si="231"/>
        <v>393001</v>
      </c>
      <c r="I218" s="50">
        <f t="shared" si="224"/>
        <v>394500</v>
      </c>
      <c r="J218" s="50">
        <f t="shared" si="232"/>
        <v>321001</v>
      </c>
      <c r="K218" s="50">
        <f t="shared" ref="K218" si="256">J218+1500-1</f>
        <v>322500</v>
      </c>
      <c r="L218" s="49">
        <f t="shared" si="234"/>
        <v>1716001</v>
      </c>
      <c r="M218" s="49">
        <f t="shared" si="226"/>
        <v>1722000</v>
      </c>
      <c r="N218" s="50">
        <f t="shared" si="235"/>
        <v>6045001</v>
      </c>
      <c r="O218" s="50">
        <f t="shared" si="227"/>
        <v>6064500</v>
      </c>
      <c r="P218" s="52">
        <f t="shared" si="236"/>
        <v>18429001</v>
      </c>
      <c r="Q218" s="52">
        <f t="shared" si="228"/>
        <v>18484500</v>
      </c>
    </row>
    <row r="219" spans="1:17" s="1" customFormat="1" ht="30" customHeight="1">
      <c r="A219" s="30" t="s">
        <v>653</v>
      </c>
      <c r="B219" s="31" t="s">
        <v>654</v>
      </c>
      <c r="C219" s="14" t="s">
        <v>655</v>
      </c>
      <c r="D219" s="15" t="s">
        <v>643</v>
      </c>
      <c r="E219" s="16">
        <v>216</v>
      </c>
      <c r="F219" s="47">
        <f t="shared" si="229"/>
        <v>64501</v>
      </c>
      <c r="G219" s="47">
        <f t="shared" si="230"/>
        <v>64800</v>
      </c>
      <c r="H219" s="50">
        <f t="shared" si="231"/>
        <v>394501</v>
      </c>
      <c r="I219" s="50">
        <f t="shared" si="224"/>
        <v>396000</v>
      </c>
      <c r="J219" s="50">
        <f t="shared" si="232"/>
        <v>322501</v>
      </c>
      <c r="K219" s="50">
        <f t="shared" ref="K219" si="257">J219+1500-1</f>
        <v>324000</v>
      </c>
      <c r="L219" s="49">
        <f t="shared" si="234"/>
        <v>1722001</v>
      </c>
      <c r="M219" s="49">
        <f t="shared" si="226"/>
        <v>1728000</v>
      </c>
      <c r="N219" s="50">
        <f t="shared" si="235"/>
        <v>6064501</v>
      </c>
      <c r="O219" s="50">
        <f t="shared" si="227"/>
        <v>6084000</v>
      </c>
      <c r="P219" s="52">
        <f t="shared" si="236"/>
        <v>18484501</v>
      </c>
      <c r="Q219" s="52">
        <f t="shared" si="228"/>
        <v>18540000</v>
      </c>
    </row>
    <row r="220" spans="1:17" s="1" customFormat="1" ht="30" customHeight="1">
      <c r="A220" s="30" t="s">
        <v>656</v>
      </c>
      <c r="B220" s="31" t="s">
        <v>657</v>
      </c>
      <c r="C220" s="14" t="s">
        <v>658</v>
      </c>
      <c r="D220" s="15" t="s">
        <v>643</v>
      </c>
      <c r="E220" s="16">
        <v>217</v>
      </c>
      <c r="F220" s="47">
        <f t="shared" si="229"/>
        <v>64801</v>
      </c>
      <c r="G220" s="47">
        <f t="shared" si="230"/>
        <v>65100</v>
      </c>
      <c r="H220" s="50">
        <f t="shared" si="231"/>
        <v>396001</v>
      </c>
      <c r="I220" s="50">
        <f t="shared" si="224"/>
        <v>397500</v>
      </c>
      <c r="J220" s="50">
        <f t="shared" si="232"/>
        <v>324001</v>
      </c>
      <c r="K220" s="50">
        <f t="shared" ref="K220" si="258">J220+1500-1</f>
        <v>325500</v>
      </c>
      <c r="L220" s="49">
        <f t="shared" si="234"/>
        <v>1728001</v>
      </c>
      <c r="M220" s="49">
        <f t="shared" si="226"/>
        <v>1734000</v>
      </c>
      <c r="N220" s="50">
        <f t="shared" si="235"/>
        <v>6084001</v>
      </c>
      <c r="O220" s="50">
        <f t="shared" si="227"/>
        <v>6103500</v>
      </c>
      <c r="P220" s="47">
        <f t="shared" si="236"/>
        <v>18540001</v>
      </c>
      <c r="Q220" s="47">
        <f t="shared" si="228"/>
        <v>18595500</v>
      </c>
    </row>
    <row r="221" spans="1:17" s="1" customFormat="1" ht="30" customHeight="1">
      <c r="A221" s="30" t="s">
        <v>659</v>
      </c>
      <c r="B221" s="31" t="s">
        <v>660</v>
      </c>
      <c r="C221" s="14" t="s">
        <v>661</v>
      </c>
      <c r="D221" s="15" t="s">
        <v>643</v>
      </c>
      <c r="E221" s="16">
        <v>218</v>
      </c>
      <c r="F221" s="47">
        <f t="shared" si="229"/>
        <v>65101</v>
      </c>
      <c r="G221" s="47">
        <f t="shared" si="230"/>
        <v>65400</v>
      </c>
      <c r="H221" s="50">
        <f t="shared" si="231"/>
        <v>397501</v>
      </c>
      <c r="I221" s="50">
        <f t="shared" si="224"/>
        <v>399000</v>
      </c>
      <c r="J221" s="50">
        <f t="shared" si="232"/>
        <v>325501</v>
      </c>
      <c r="K221" s="50">
        <f t="shared" ref="K221" si="259">J221+1500-1</f>
        <v>327000</v>
      </c>
      <c r="L221" s="49">
        <f t="shared" si="234"/>
        <v>1734001</v>
      </c>
      <c r="M221" s="49">
        <f t="shared" si="226"/>
        <v>1740000</v>
      </c>
      <c r="N221" s="50">
        <f t="shared" si="235"/>
        <v>6103501</v>
      </c>
      <c r="O221" s="50">
        <f t="shared" si="227"/>
        <v>6123000</v>
      </c>
      <c r="P221" s="47">
        <f t="shared" si="236"/>
        <v>18595501</v>
      </c>
      <c r="Q221" s="47">
        <f t="shared" si="228"/>
        <v>18651000</v>
      </c>
    </row>
    <row r="222" spans="1:17" s="1" customFormat="1" ht="30" customHeight="1">
      <c r="A222" s="30" t="s">
        <v>662</v>
      </c>
      <c r="B222" s="31" t="s">
        <v>663</v>
      </c>
      <c r="C222" s="14" t="s">
        <v>664</v>
      </c>
      <c r="D222" s="15" t="s">
        <v>643</v>
      </c>
      <c r="E222" s="16">
        <v>219</v>
      </c>
      <c r="F222" s="47">
        <f t="shared" si="229"/>
        <v>65401</v>
      </c>
      <c r="G222" s="47">
        <f t="shared" si="230"/>
        <v>65700</v>
      </c>
      <c r="H222" s="50">
        <f t="shared" si="231"/>
        <v>399001</v>
      </c>
      <c r="I222" s="50">
        <f t="shared" si="224"/>
        <v>400500</v>
      </c>
      <c r="J222" s="50">
        <f t="shared" si="232"/>
        <v>327001</v>
      </c>
      <c r="K222" s="50">
        <f t="shared" ref="K222" si="260">J222+1500-1</f>
        <v>328500</v>
      </c>
      <c r="L222" s="49">
        <f t="shared" si="234"/>
        <v>1740001</v>
      </c>
      <c r="M222" s="49">
        <f t="shared" si="226"/>
        <v>1746000</v>
      </c>
      <c r="N222" s="50">
        <f t="shared" si="235"/>
        <v>6123001</v>
      </c>
      <c r="O222" s="50">
        <f t="shared" si="227"/>
        <v>6142500</v>
      </c>
      <c r="P222" s="47">
        <f t="shared" si="236"/>
        <v>18651001</v>
      </c>
      <c r="Q222" s="47">
        <f t="shared" si="228"/>
        <v>18706500</v>
      </c>
    </row>
    <row r="223" spans="1:17" s="1" customFormat="1" ht="30" customHeight="1">
      <c r="A223" s="30" t="s">
        <v>665</v>
      </c>
      <c r="B223" s="31" t="s">
        <v>666</v>
      </c>
      <c r="C223" s="14" t="s">
        <v>667</v>
      </c>
      <c r="D223" s="15" t="s">
        <v>643</v>
      </c>
      <c r="E223" s="16">
        <v>220</v>
      </c>
      <c r="F223" s="47">
        <f t="shared" si="229"/>
        <v>65701</v>
      </c>
      <c r="G223" s="47">
        <f t="shared" si="230"/>
        <v>66000</v>
      </c>
      <c r="H223" s="50">
        <f t="shared" si="231"/>
        <v>400501</v>
      </c>
      <c r="I223" s="50">
        <f t="shared" si="224"/>
        <v>402000</v>
      </c>
      <c r="J223" s="50">
        <f t="shared" si="232"/>
        <v>328501</v>
      </c>
      <c r="K223" s="50">
        <f t="shared" ref="K223" si="261">J223+1500-1</f>
        <v>330000</v>
      </c>
      <c r="L223" s="49">
        <f t="shared" si="234"/>
        <v>1746001</v>
      </c>
      <c r="M223" s="49">
        <f t="shared" si="226"/>
        <v>1752000</v>
      </c>
      <c r="N223" s="50">
        <f t="shared" si="235"/>
        <v>6142501</v>
      </c>
      <c r="O223" s="50">
        <f t="shared" si="227"/>
        <v>6162000</v>
      </c>
      <c r="P223" s="47">
        <f t="shared" si="236"/>
        <v>18706501</v>
      </c>
      <c r="Q223" s="47">
        <f t="shared" si="228"/>
        <v>18762000</v>
      </c>
    </row>
    <row r="224" spans="1:17" s="1" customFormat="1" ht="30" customHeight="1">
      <c r="A224" s="30" t="s">
        <v>668</v>
      </c>
      <c r="B224" s="31" t="s">
        <v>669</v>
      </c>
      <c r="C224" s="14" t="s">
        <v>670</v>
      </c>
      <c r="D224" s="15" t="s">
        <v>643</v>
      </c>
      <c r="E224" s="16">
        <v>221</v>
      </c>
      <c r="F224" s="47">
        <f t="shared" si="229"/>
        <v>66001</v>
      </c>
      <c r="G224" s="47">
        <f t="shared" si="230"/>
        <v>66300</v>
      </c>
      <c r="H224" s="50">
        <f t="shared" si="231"/>
        <v>402001</v>
      </c>
      <c r="I224" s="50">
        <f t="shared" si="224"/>
        <v>403500</v>
      </c>
      <c r="J224" s="50">
        <f t="shared" si="232"/>
        <v>330001</v>
      </c>
      <c r="K224" s="50">
        <f t="shared" ref="K224" si="262">J224+1500-1</f>
        <v>331500</v>
      </c>
      <c r="L224" s="49">
        <f t="shared" si="234"/>
        <v>1752001</v>
      </c>
      <c r="M224" s="49">
        <f t="shared" si="226"/>
        <v>1758000</v>
      </c>
      <c r="N224" s="50">
        <f t="shared" si="235"/>
        <v>6162001</v>
      </c>
      <c r="O224" s="50">
        <f t="shared" si="227"/>
        <v>6181500</v>
      </c>
      <c r="P224" s="47">
        <f t="shared" si="236"/>
        <v>18762001</v>
      </c>
      <c r="Q224" s="47">
        <f t="shared" si="228"/>
        <v>18817500</v>
      </c>
    </row>
    <row r="225" spans="1:17" s="1" customFormat="1" ht="30" customHeight="1">
      <c r="A225" s="32" t="s">
        <v>671</v>
      </c>
      <c r="B225" s="31" t="s">
        <v>672</v>
      </c>
      <c r="C225" s="14" t="s">
        <v>673</v>
      </c>
      <c r="D225" s="15" t="s">
        <v>643</v>
      </c>
      <c r="E225" s="16">
        <v>222</v>
      </c>
      <c r="F225" s="47">
        <f t="shared" si="229"/>
        <v>66301</v>
      </c>
      <c r="G225" s="47">
        <f t="shared" si="230"/>
        <v>66600</v>
      </c>
      <c r="H225" s="50">
        <f t="shared" si="231"/>
        <v>403501</v>
      </c>
      <c r="I225" s="50">
        <f t="shared" si="224"/>
        <v>405000</v>
      </c>
      <c r="J225" s="50">
        <f t="shared" si="232"/>
        <v>331501</v>
      </c>
      <c r="K225" s="50">
        <f t="shared" ref="K225" si="263">J225+1500-1</f>
        <v>333000</v>
      </c>
      <c r="L225" s="49">
        <f t="shared" si="234"/>
        <v>1758001</v>
      </c>
      <c r="M225" s="49">
        <f t="shared" si="226"/>
        <v>1764000</v>
      </c>
      <c r="N225" s="50">
        <f t="shared" si="235"/>
        <v>6181501</v>
      </c>
      <c r="O225" s="50">
        <f t="shared" si="227"/>
        <v>6201000</v>
      </c>
      <c r="P225" s="47">
        <f t="shared" si="236"/>
        <v>18817501</v>
      </c>
      <c r="Q225" s="47">
        <f t="shared" si="228"/>
        <v>18873000</v>
      </c>
    </row>
    <row r="226" spans="1:17" s="1" customFormat="1" ht="30" customHeight="1">
      <c r="A226" s="19" t="s">
        <v>674</v>
      </c>
      <c r="B226" s="33" t="s">
        <v>675</v>
      </c>
      <c r="C226" s="34" t="s">
        <v>676</v>
      </c>
      <c r="D226" s="35" t="s">
        <v>677</v>
      </c>
      <c r="E226" s="16">
        <v>223</v>
      </c>
      <c r="F226" s="47">
        <f t="shared" si="229"/>
        <v>66601</v>
      </c>
      <c r="G226" s="47">
        <f t="shared" si="230"/>
        <v>66900</v>
      </c>
      <c r="H226" s="50">
        <f t="shared" si="231"/>
        <v>405001</v>
      </c>
      <c r="I226" s="50">
        <f t="shared" si="224"/>
        <v>406500</v>
      </c>
      <c r="J226" s="50">
        <f t="shared" si="232"/>
        <v>333001</v>
      </c>
      <c r="K226" s="50">
        <f t="shared" ref="K226" si="264">J226+1500-1</f>
        <v>334500</v>
      </c>
      <c r="L226" s="49">
        <f t="shared" si="234"/>
        <v>1764001</v>
      </c>
      <c r="M226" s="49">
        <f t="shared" si="226"/>
        <v>1770000</v>
      </c>
      <c r="N226" s="50">
        <f t="shared" si="235"/>
        <v>6201001</v>
      </c>
      <c r="O226" s="50">
        <f t="shared" si="227"/>
        <v>6220500</v>
      </c>
      <c r="P226" s="47">
        <f t="shared" si="236"/>
        <v>18873001</v>
      </c>
      <c r="Q226" s="47">
        <f t="shared" si="228"/>
        <v>18928500</v>
      </c>
    </row>
    <row r="227" spans="1:17" s="1" customFormat="1" ht="30" customHeight="1">
      <c r="A227" s="19" t="s">
        <v>678</v>
      </c>
      <c r="B227" s="33" t="s">
        <v>679</v>
      </c>
      <c r="C227" s="34" t="s">
        <v>680</v>
      </c>
      <c r="D227" s="35" t="s">
        <v>677</v>
      </c>
      <c r="E227" s="16">
        <v>224</v>
      </c>
      <c r="F227" s="47">
        <f t="shared" si="229"/>
        <v>66901</v>
      </c>
      <c r="G227" s="47">
        <f t="shared" si="230"/>
        <v>67200</v>
      </c>
      <c r="H227" s="50">
        <f t="shared" si="231"/>
        <v>406501</v>
      </c>
      <c r="I227" s="50">
        <f t="shared" si="224"/>
        <v>408000</v>
      </c>
      <c r="J227" s="50">
        <f t="shared" si="232"/>
        <v>334501</v>
      </c>
      <c r="K227" s="50">
        <f t="shared" ref="K227" si="265">J227+1500-1</f>
        <v>336000</v>
      </c>
      <c r="L227" s="49">
        <f t="shared" si="234"/>
        <v>1770001</v>
      </c>
      <c r="M227" s="49">
        <f t="shared" si="226"/>
        <v>1776000</v>
      </c>
      <c r="N227" s="50">
        <f t="shared" si="235"/>
        <v>6220501</v>
      </c>
      <c r="O227" s="50">
        <f t="shared" si="227"/>
        <v>6240000</v>
      </c>
      <c r="P227" s="47">
        <f t="shared" si="236"/>
        <v>18928501</v>
      </c>
      <c r="Q227" s="47">
        <f t="shared" si="228"/>
        <v>18984000</v>
      </c>
    </row>
    <row r="228" spans="1:17" s="1" customFormat="1" ht="30" customHeight="1">
      <c r="A228" s="19" t="s">
        <v>681</v>
      </c>
      <c r="B228" s="33" t="s">
        <v>682</v>
      </c>
      <c r="C228" s="34" t="s">
        <v>683</v>
      </c>
      <c r="D228" s="35" t="s">
        <v>677</v>
      </c>
      <c r="E228" s="16">
        <v>225</v>
      </c>
      <c r="F228" s="47">
        <f t="shared" si="229"/>
        <v>67201</v>
      </c>
      <c r="G228" s="47">
        <f t="shared" si="230"/>
        <v>67500</v>
      </c>
      <c r="H228" s="50">
        <f t="shared" si="231"/>
        <v>408001</v>
      </c>
      <c r="I228" s="50">
        <f t="shared" si="224"/>
        <v>409500</v>
      </c>
      <c r="J228" s="50">
        <f t="shared" si="232"/>
        <v>336001</v>
      </c>
      <c r="K228" s="50">
        <f t="shared" ref="K228" si="266">J228+1500-1</f>
        <v>337500</v>
      </c>
      <c r="L228" s="49">
        <f t="shared" si="234"/>
        <v>1776001</v>
      </c>
      <c r="M228" s="49">
        <f t="shared" si="226"/>
        <v>1782000</v>
      </c>
      <c r="N228" s="50">
        <f t="shared" si="235"/>
        <v>6240001</v>
      </c>
      <c r="O228" s="50">
        <f t="shared" si="227"/>
        <v>6259500</v>
      </c>
      <c r="P228" s="52">
        <f t="shared" si="236"/>
        <v>18984001</v>
      </c>
      <c r="Q228" s="52">
        <f t="shared" si="228"/>
        <v>19039500</v>
      </c>
    </row>
    <row r="229" spans="1:17" s="1" customFormat="1" ht="30" customHeight="1">
      <c r="A229" s="19" t="s">
        <v>684</v>
      </c>
      <c r="B229" s="33" t="s">
        <v>685</v>
      </c>
      <c r="C229" s="34" t="s">
        <v>686</v>
      </c>
      <c r="D229" s="35" t="s">
        <v>677</v>
      </c>
      <c r="E229" s="16">
        <v>226</v>
      </c>
      <c r="F229" s="47">
        <f t="shared" si="229"/>
        <v>67501</v>
      </c>
      <c r="G229" s="47">
        <f t="shared" si="230"/>
        <v>67800</v>
      </c>
      <c r="H229" s="50">
        <f t="shared" si="231"/>
        <v>409501</v>
      </c>
      <c r="I229" s="50">
        <f t="shared" si="224"/>
        <v>411000</v>
      </c>
      <c r="J229" s="50">
        <f t="shared" si="232"/>
        <v>337501</v>
      </c>
      <c r="K229" s="50">
        <f t="shared" ref="K229" si="267">J229+1500-1</f>
        <v>339000</v>
      </c>
      <c r="L229" s="49">
        <f t="shared" si="234"/>
        <v>1782001</v>
      </c>
      <c r="M229" s="49">
        <f t="shared" si="226"/>
        <v>1788000</v>
      </c>
      <c r="N229" s="50">
        <f t="shared" si="235"/>
        <v>6259501</v>
      </c>
      <c r="O229" s="50">
        <f t="shared" si="227"/>
        <v>6279000</v>
      </c>
      <c r="P229" s="52">
        <f t="shared" si="236"/>
        <v>19039501</v>
      </c>
      <c r="Q229" s="52">
        <f t="shared" si="228"/>
        <v>19095000</v>
      </c>
    </row>
    <row r="230" spans="1:17" s="1" customFormat="1" ht="30" customHeight="1">
      <c r="A230" s="19" t="s">
        <v>687</v>
      </c>
      <c r="B230" s="33" t="s">
        <v>688</v>
      </c>
      <c r="C230" s="34" t="s">
        <v>689</v>
      </c>
      <c r="D230" s="35" t="s">
        <v>677</v>
      </c>
      <c r="E230" s="16">
        <v>227</v>
      </c>
      <c r="F230" s="47">
        <f t="shared" si="229"/>
        <v>67801</v>
      </c>
      <c r="G230" s="47">
        <f t="shared" si="230"/>
        <v>68100</v>
      </c>
      <c r="H230" s="50">
        <f t="shared" si="231"/>
        <v>411001</v>
      </c>
      <c r="I230" s="50">
        <f t="shared" si="224"/>
        <v>412500</v>
      </c>
      <c r="J230" s="50">
        <f t="shared" si="232"/>
        <v>339001</v>
      </c>
      <c r="K230" s="50">
        <f t="shared" ref="K230" si="268">J230+1500-1</f>
        <v>340500</v>
      </c>
      <c r="L230" s="49">
        <f t="shared" si="234"/>
        <v>1788001</v>
      </c>
      <c r="M230" s="49">
        <f t="shared" si="226"/>
        <v>1794000</v>
      </c>
      <c r="N230" s="50">
        <f t="shared" si="235"/>
        <v>6279001</v>
      </c>
      <c r="O230" s="50">
        <f t="shared" si="227"/>
        <v>6298500</v>
      </c>
      <c r="P230" s="52">
        <f t="shared" si="236"/>
        <v>19095001</v>
      </c>
      <c r="Q230" s="52">
        <f t="shared" si="228"/>
        <v>19150500</v>
      </c>
    </row>
    <row r="231" spans="1:17" s="1" customFormat="1" ht="30" customHeight="1">
      <c r="A231" s="19" t="s">
        <v>690</v>
      </c>
      <c r="B231" s="33" t="s">
        <v>691</v>
      </c>
      <c r="C231" s="34" t="s">
        <v>692</v>
      </c>
      <c r="D231" s="35" t="s">
        <v>677</v>
      </c>
      <c r="E231" s="16">
        <v>228</v>
      </c>
      <c r="F231" s="47">
        <f t="shared" si="229"/>
        <v>68101</v>
      </c>
      <c r="G231" s="47">
        <f t="shared" si="230"/>
        <v>68400</v>
      </c>
      <c r="H231" s="50">
        <f t="shared" si="231"/>
        <v>412501</v>
      </c>
      <c r="I231" s="50">
        <f t="shared" si="224"/>
        <v>414000</v>
      </c>
      <c r="J231" s="50">
        <f t="shared" si="232"/>
        <v>340501</v>
      </c>
      <c r="K231" s="50">
        <f t="shared" ref="K231" si="269">J231+1500-1</f>
        <v>342000</v>
      </c>
      <c r="L231" s="49">
        <f t="shared" si="234"/>
        <v>1794001</v>
      </c>
      <c r="M231" s="49">
        <f t="shared" si="226"/>
        <v>1800000</v>
      </c>
      <c r="N231" s="50">
        <f t="shared" si="235"/>
        <v>6298501</v>
      </c>
      <c r="O231" s="50">
        <f t="shared" si="227"/>
        <v>6318000</v>
      </c>
      <c r="P231" s="52">
        <f t="shared" si="236"/>
        <v>19150501</v>
      </c>
      <c r="Q231" s="52">
        <f t="shared" si="228"/>
        <v>19206000</v>
      </c>
    </row>
    <row r="232" spans="1:17" s="1" customFormat="1" ht="30" customHeight="1">
      <c r="A232" s="19" t="s">
        <v>693</v>
      </c>
      <c r="B232" s="33" t="s">
        <v>694</v>
      </c>
      <c r="C232" s="34" t="s">
        <v>695</v>
      </c>
      <c r="D232" s="35" t="s">
        <v>677</v>
      </c>
      <c r="E232" s="16">
        <v>229</v>
      </c>
      <c r="F232" s="47">
        <f t="shared" si="229"/>
        <v>68401</v>
      </c>
      <c r="G232" s="47">
        <f t="shared" si="230"/>
        <v>68700</v>
      </c>
      <c r="H232" s="50">
        <f t="shared" si="231"/>
        <v>414001</v>
      </c>
      <c r="I232" s="50">
        <f t="shared" si="224"/>
        <v>415500</v>
      </c>
      <c r="J232" s="50">
        <f t="shared" si="232"/>
        <v>342001</v>
      </c>
      <c r="K232" s="50">
        <f t="shared" ref="K232" si="270">J232+1500-1</f>
        <v>343500</v>
      </c>
      <c r="L232" s="49">
        <f t="shared" si="234"/>
        <v>1800001</v>
      </c>
      <c r="M232" s="49">
        <f t="shared" si="226"/>
        <v>1806000</v>
      </c>
      <c r="N232" s="50">
        <f t="shared" si="235"/>
        <v>6318001</v>
      </c>
      <c r="O232" s="50">
        <f t="shared" si="227"/>
        <v>6337500</v>
      </c>
      <c r="P232" s="52">
        <f t="shared" si="236"/>
        <v>19206001</v>
      </c>
      <c r="Q232" s="52">
        <f t="shared" si="228"/>
        <v>19261500</v>
      </c>
    </row>
    <row r="233" spans="1:17" s="1" customFormat="1" ht="30" customHeight="1">
      <c r="A233" s="19" t="s">
        <v>696</v>
      </c>
      <c r="B233" s="33" t="s">
        <v>697</v>
      </c>
      <c r="C233" s="34" t="s">
        <v>698</v>
      </c>
      <c r="D233" s="35" t="s">
        <v>677</v>
      </c>
      <c r="E233" s="16">
        <v>230</v>
      </c>
      <c r="F233" s="47">
        <f t="shared" si="229"/>
        <v>68701</v>
      </c>
      <c r="G233" s="47">
        <f t="shared" si="230"/>
        <v>69000</v>
      </c>
      <c r="H233" s="50">
        <f t="shared" si="231"/>
        <v>415501</v>
      </c>
      <c r="I233" s="50">
        <f t="shared" si="224"/>
        <v>417000</v>
      </c>
      <c r="J233" s="50">
        <f t="shared" si="232"/>
        <v>343501</v>
      </c>
      <c r="K233" s="50">
        <f t="shared" ref="K233" si="271">J233+1500-1</f>
        <v>345000</v>
      </c>
      <c r="L233" s="49">
        <f t="shared" si="234"/>
        <v>1806001</v>
      </c>
      <c r="M233" s="49">
        <f t="shared" si="226"/>
        <v>1812000</v>
      </c>
      <c r="N233" s="50">
        <f t="shared" si="235"/>
        <v>6337501</v>
      </c>
      <c r="O233" s="50">
        <f t="shared" si="227"/>
        <v>6357000</v>
      </c>
      <c r="P233" s="52">
        <f t="shared" si="236"/>
        <v>19261501</v>
      </c>
      <c r="Q233" s="52">
        <f t="shared" si="228"/>
        <v>19317000</v>
      </c>
    </row>
    <row r="234" spans="1:17" s="1" customFormat="1" ht="30" customHeight="1">
      <c r="A234" s="36" t="s">
        <v>699</v>
      </c>
      <c r="B234" s="37" t="s">
        <v>700</v>
      </c>
      <c r="C234" s="38" t="s">
        <v>701</v>
      </c>
      <c r="D234" s="39" t="s">
        <v>702</v>
      </c>
      <c r="E234" s="16">
        <v>231</v>
      </c>
      <c r="F234" s="47">
        <f t="shared" si="229"/>
        <v>69001</v>
      </c>
      <c r="G234" s="47">
        <f t="shared" si="230"/>
        <v>69300</v>
      </c>
      <c r="H234" s="50">
        <f t="shared" si="231"/>
        <v>417001</v>
      </c>
      <c r="I234" s="50">
        <f t="shared" si="224"/>
        <v>418500</v>
      </c>
      <c r="J234" s="50">
        <f t="shared" si="232"/>
        <v>345001</v>
      </c>
      <c r="K234" s="50">
        <f t="shared" ref="K234" si="272">J234+1500-1</f>
        <v>346500</v>
      </c>
      <c r="L234" s="49">
        <f t="shared" si="234"/>
        <v>1812001</v>
      </c>
      <c r="M234" s="49">
        <f t="shared" si="226"/>
        <v>1818000</v>
      </c>
      <c r="N234" s="50">
        <f t="shared" si="235"/>
        <v>6357001</v>
      </c>
      <c r="O234" s="50">
        <f t="shared" si="227"/>
        <v>6376500</v>
      </c>
      <c r="P234" s="52">
        <f t="shared" si="236"/>
        <v>19317001</v>
      </c>
      <c r="Q234" s="52">
        <f t="shared" si="228"/>
        <v>19372500</v>
      </c>
    </row>
    <row r="235" spans="1:17" s="1" customFormat="1" ht="30" customHeight="1">
      <c r="A235" s="36" t="s">
        <v>703</v>
      </c>
      <c r="B235" s="37" t="s">
        <v>704</v>
      </c>
      <c r="C235" s="38" t="s">
        <v>705</v>
      </c>
      <c r="D235" s="39" t="s">
        <v>702</v>
      </c>
      <c r="E235" s="16">
        <v>232</v>
      </c>
      <c r="F235" s="47">
        <f t="shared" si="229"/>
        <v>69301</v>
      </c>
      <c r="G235" s="47">
        <f t="shared" si="230"/>
        <v>69600</v>
      </c>
      <c r="H235" s="50">
        <f t="shared" si="231"/>
        <v>418501</v>
      </c>
      <c r="I235" s="50">
        <f t="shared" si="224"/>
        <v>420000</v>
      </c>
      <c r="J235" s="50">
        <f t="shared" si="232"/>
        <v>346501</v>
      </c>
      <c r="K235" s="50">
        <f t="shared" ref="K235" si="273">J235+1500-1</f>
        <v>348000</v>
      </c>
      <c r="L235" s="49">
        <f t="shared" si="234"/>
        <v>1818001</v>
      </c>
      <c r="M235" s="49">
        <f t="shared" si="226"/>
        <v>1824000</v>
      </c>
      <c r="N235" s="50">
        <f t="shared" si="235"/>
        <v>6376501</v>
      </c>
      <c r="O235" s="50">
        <f t="shared" si="227"/>
        <v>6396000</v>
      </c>
      <c r="P235" s="52">
        <f t="shared" si="236"/>
        <v>19372501</v>
      </c>
      <c r="Q235" s="52">
        <f t="shared" si="228"/>
        <v>19428000</v>
      </c>
    </row>
    <row r="236" spans="1:17" s="1" customFormat="1" ht="30" customHeight="1">
      <c r="A236" s="36" t="s">
        <v>706</v>
      </c>
      <c r="B236" s="37" t="s">
        <v>707</v>
      </c>
      <c r="C236" s="38" t="s">
        <v>708</v>
      </c>
      <c r="D236" s="39" t="s">
        <v>702</v>
      </c>
      <c r="E236" s="16">
        <v>233</v>
      </c>
      <c r="F236" s="47">
        <f t="shared" si="229"/>
        <v>69601</v>
      </c>
      <c r="G236" s="47">
        <f t="shared" si="230"/>
        <v>69900</v>
      </c>
      <c r="H236" s="50">
        <f t="shared" si="231"/>
        <v>420001</v>
      </c>
      <c r="I236" s="50">
        <f t="shared" si="224"/>
        <v>421500</v>
      </c>
      <c r="J236" s="50">
        <f t="shared" si="232"/>
        <v>348001</v>
      </c>
      <c r="K236" s="50">
        <f t="shared" ref="K236" si="274">J236+1500-1</f>
        <v>349500</v>
      </c>
      <c r="L236" s="49">
        <f t="shared" si="234"/>
        <v>1824001</v>
      </c>
      <c r="M236" s="49">
        <f t="shared" si="226"/>
        <v>1830000</v>
      </c>
      <c r="N236" s="50">
        <f t="shared" si="235"/>
        <v>6396001</v>
      </c>
      <c r="O236" s="50">
        <f t="shared" si="227"/>
        <v>6415500</v>
      </c>
      <c r="P236" s="47">
        <f t="shared" si="236"/>
        <v>19428001</v>
      </c>
      <c r="Q236" s="47">
        <f t="shared" si="228"/>
        <v>19483500</v>
      </c>
    </row>
    <row r="237" spans="1:17" s="1" customFormat="1" ht="30" customHeight="1">
      <c r="A237" s="36" t="s">
        <v>709</v>
      </c>
      <c r="B237" s="37" t="s">
        <v>710</v>
      </c>
      <c r="C237" s="38" t="s">
        <v>711</v>
      </c>
      <c r="D237" s="39" t="s">
        <v>702</v>
      </c>
      <c r="E237" s="16">
        <v>234</v>
      </c>
      <c r="F237" s="47">
        <f t="shared" si="229"/>
        <v>69901</v>
      </c>
      <c r="G237" s="47">
        <f t="shared" si="230"/>
        <v>70200</v>
      </c>
      <c r="H237" s="50">
        <f t="shared" si="231"/>
        <v>421501</v>
      </c>
      <c r="I237" s="50">
        <f t="shared" si="224"/>
        <v>423000</v>
      </c>
      <c r="J237" s="50">
        <f t="shared" si="232"/>
        <v>349501</v>
      </c>
      <c r="K237" s="50">
        <f t="shared" ref="K237" si="275">J237+1500-1</f>
        <v>351000</v>
      </c>
      <c r="L237" s="49">
        <f t="shared" si="234"/>
        <v>1830001</v>
      </c>
      <c r="M237" s="49">
        <f t="shared" si="226"/>
        <v>1836000</v>
      </c>
      <c r="N237" s="50">
        <f t="shared" si="235"/>
        <v>6415501</v>
      </c>
      <c r="O237" s="50">
        <f t="shared" si="227"/>
        <v>6435000</v>
      </c>
      <c r="P237" s="47">
        <f t="shared" si="236"/>
        <v>19483501</v>
      </c>
      <c r="Q237" s="47">
        <f t="shared" si="228"/>
        <v>19539000</v>
      </c>
    </row>
    <row r="238" spans="1:17" s="1" customFormat="1" ht="30" customHeight="1">
      <c r="A238" s="36" t="s">
        <v>712</v>
      </c>
      <c r="B238" s="37" t="s">
        <v>713</v>
      </c>
      <c r="C238" s="38" t="s">
        <v>714</v>
      </c>
      <c r="D238" s="39" t="s">
        <v>702</v>
      </c>
      <c r="E238" s="16">
        <v>235</v>
      </c>
      <c r="F238" s="47">
        <f t="shared" si="229"/>
        <v>70201</v>
      </c>
      <c r="G238" s="47">
        <f t="shared" si="230"/>
        <v>70500</v>
      </c>
      <c r="H238" s="50">
        <f t="shared" si="231"/>
        <v>423001</v>
      </c>
      <c r="I238" s="50">
        <f t="shared" si="224"/>
        <v>424500</v>
      </c>
      <c r="J238" s="50">
        <f t="shared" si="232"/>
        <v>351001</v>
      </c>
      <c r="K238" s="50">
        <f t="shared" ref="K238" si="276">J238+1500-1</f>
        <v>352500</v>
      </c>
      <c r="L238" s="49">
        <f t="shared" si="234"/>
        <v>1836001</v>
      </c>
      <c r="M238" s="49">
        <f t="shared" si="226"/>
        <v>1842000</v>
      </c>
      <c r="N238" s="50">
        <f t="shared" si="235"/>
        <v>6435001</v>
      </c>
      <c r="O238" s="50">
        <f t="shared" si="227"/>
        <v>6454500</v>
      </c>
      <c r="P238" s="47">
        <f t="shared" si="236"/>
        <v>19539001</v>
      </c>
      <c r="Q238" s="47">
        <f t="shared" si="228"/>
        <v>19594500</v>
      </c>
    </row>
    <row r="239" spans="1:17" s="1" customFormat="1" ht="30" customHeight="1">
      <c r="A239" s="36" t="s">
        <v>715</v>
      </c>
      <c r="B239" s="37" t="s">
        <v>716</v>
      </c>
      <c r="C239" s="38" t="s">
        <v>717</v>
      </c>
      <c r="D239" s="39" t="s">
        <v>702</v>
      </c>
      <c r="E239" s="16">
        <v>236</v>
      </c>
      <c r="F239" s="47">
        <f t="shared" si="229"/>
        <v>70501</v>
      </c>
      <c r="G239" s="47">
        <f t="shared" si="230"/>
        <v>70800</v>
      </c>
      <c r="H239" s="50">
        <f t="shared" si="231"/>
        <v>424501</v>
      </c>
      <c r="I239" s="50">
        <f t="shared" si="224"/>
        <v>426000</v>
      </c>
      <c r="J239" s="50">
        <f t="shared" si="232"/>
        <v>352501</v>
      </c>
      <c r="K239" s="50">
        <f t="shared" ref="K239" si="277">J239+1500-1</f>
        <v>354000</v>
      </c>
      <c r="L239" s="49">
        <f t="shared" si="234"/>
        <v>1842001</v>
      </c>
      <c r="M239" s="49">
        <f t="shared" si="226"/>
        <v>1848000</v>
      </c>
      <c r="N239" s="50">
        <f t="shared" si="235"/>
        <v>6454501</v>
      </c>
      <c r="O239" s="50">
        <f t="shared" si="227"/>
        <v>6474000</v>
      </c>
      <c r="P239" s="47">
        <f t="shared" si="236"/>
        <v>19594501</v>
      </c>
      <c r="Q239" s="47">
        <f t="shared" si="228"/>
        <v>19650000</v>
      </c>
    </row>
    <row r="240" spans="1:17" s="1" customFormat="1" ht="30" customHeight="1">
      <c r="A240" s="36" t="s">
        <v>718</v>
      </c>
      <c r="B240" s="37" t="s">
        <v>719</v>
      </c>
      <c r="C240" s="38" t="s">
        <v>720</v>
      </c>
      <c r="D240" s="39" t="s">
        <v>702</v>
      </c>
      <c r="E240" s="16">
        <v>237</v>
      </c>
      <c r="F240" s="47">
        <f t="shared" si="229"/>
        <v>70801</v>
      </c>
      <c r="G240" s="47">
        <f t="shared" si="230"/>
        <v>71100</v>
      </c>
      <c r="H240" s="50">
        <f t="shared" si="231"/>
        <v>426001</v>
      </c>
      <c r="I240" s="50">
        <f t="shared" si="224"/>
        <v>427500</v>
      </c>
      <c r="J240" s="50">
        <f t="shared" si="232"/>
        <v>354001</v>
      </c>
      <c r="K240" s="50">
        <f t="shared" ref="K240" si="278">J240+1500-1</f>
        <v>355500</v>
      </c>
      <c r="L240" s="49">
        <f t="shared" si="234"/>
        <v>1848001</v>
      </c>
      <c r="M240" s="49">
        <f t="shared" si="226"/>
        <v>1854000</v>
      </c>
      <c r="N240" s="50">
        <f t="shared" si="235"/>
        <v>6474001</v>
      </c>
      <c r="O240" s="50">
        <f t="shared" si="227"/>
        <v>6493500</v>
      </c>
      <c r="P240" s="47">
        <f t="shared" si="236"/>
        <v>19650001</v>
      </c>
      <c r="Q240" s="47">
        <f t="shared" si="228"/>
        <v>19705500</v>
      </c>
    </row>
    <row r="241" spans="1:17" s="1" customFormat="1" ht="30" customHeight="1">
      <c r="A241" s="36" t="s">
        <v>721</v>
      </c>
      <c r="B241" s="37" t="s">
        <v>722</v>
      </c>
      <c r="C241" s="38" t="s">
        <v>723</v>
      </c>
      <c r="D241" s="39" t="s">
        <v>702</v>
      </c>
      <c r="E241" s="16">
        <v>238</v>
      </c>
      <c r="F241" s="47">
        <f t="shared" si="229"/>
        <v>71101</v>
      </c>
      <c r="G241" s="47">
        <f t="shared" si="230"/>
        <v>71400</v>
      </c>
      <c r="H241" s="50">
        <f t="shared" si="231"/>
        <v>427501</v>
      </c>
      <c r="I241" s="50">
        <f t="shared" si="224"/>
        <v>429000</v>
      </c>
      <c r="J241" s="50">
        <f t="shared" si="232"/>
        <v>355501</v>
      </c>
      <c r="K241" s="50">
        <f t="shared" ref="K241" si="279">J241+1500-1</f>
        <v>357000</v>
      </c>
      <c r="L241" s="49">
        <f t="shared" si="234"/>
        <v>1854001</v>
      </c>
      <c r="M241" s="49">
        <f t="shared" si="226"/>
        <v>1860000</v>
      </c>
      <c r="N241" s="50">
        <f t="shared" si="235"/>
        <v>6493501</v>
      </c>
      <c r="O241" s="50">
        <f t="shared" si="227"/>
        <v>6513000</v>
      </c>
      <c r="P241" s="47">
        <f t="shared" si="236"/>
        <v>19705501</v>
      </c>
      <c r="Q241" s="47">
        <f t="shared" si="228"/>
        <v>19761000</v>
      </c>
    </row>
    <row r="242" spans="1:17" s="1" customFormat="1" ht="30" customHeight="1">
      <c r="A242" s="36" t="s">
        <v>724</v>
      </c>
      <c r="B242" s="37" t="s">
        <v>725</v>
      </c>
      <c r="C242" s="38" t="s">
        <v>726</v>
      </c>
      <c r="D242" s="39" t="s">
        <v>702</v>
      </c>
      <c r="E242" s="16">
        <v>239</v>
      </c>
      <c r="F242" s="47">
        <f t="shared" si="229"/>
        <v>71401</v>
      </c>
      <c r="G242" s="47">
        <f t="shared" si="230"/>
        <v>71700</v>
      </c>
      <c r="H242" s="50">
        <f t="shared" si="231"/>
        <v>429001</v>
      </c>
      <c r="I242" s="50">
        <f t="shared" si="224"/>
        <v>430500</v>
      </c>
      <c r="J242" s="50">
        <f t="shared" si="232"/>
        <v>357001</v>
      </c>
      <c r="K242" s="50">
        <f t="shared" ref="K242" si="280">J242+1500-1</f>
        <v>358500</v>
      </c>
      <c r="L242" s="49">
        <f t="shared" si="234"/>
        <v>1860001</v>
      </c>
      <c r="M242" s="49">
        <f t="shared" si="226"/>
        <v>1866000</v>
      </c>
      <c r="N242" s="50">
        <f t="shared" si="235"/>
        <v>6513001</v>
      </c>
      <c r="O242" s="50">
        <f t="shared" si="227"/>
        <v>6532500</v>
      </c>
      <c r="P242" s="47">
        <f t="shared" si="236"/>
        <v>19761001</v>
      </c>
      <c r="Q242" s="47">
        <f t="shared" si="228"/>
        <v>19816500</v>
      </c>
    </row>
    <row r="243" spans="1:17" s="1" customFormat="1" ht="30" customHeight="1">
      <c r="A243" s="36" t="s">
        <v>727</v>
      </c>
      <c r="B243" s="37" t="s">
        <v>728</v>
      </c>
      <c r="C243" s="38" t="s">
        <v>729</v>
      </c>
      <c r="D243" s="39" t="s">
        <v>702</v>
      </c>
      <c r="E243" s="16">
        <v>240</v>
      </c>
      <c r="F243" s="47">
        <f t="shared" si="229"/>
        <v>71701</v>
      </c>
      <c r="G243" s="47">
        <f t="shared" si="230"/>
        <v>72000</v>
      </c>
      <c r="H243" s="50">
        <f t="shared" si="231"/>
        <v>430501</v>
      </c>
      <c r="I243" s="50">
        <f t="shared" si="224"/>
        <v>432000</v>
      </c>
      <c r="J243" s="50">
        <f t="shared" si="232"/>
        <v>358501</v>
      </c>
      <c r="K243" s="62">
        <f t="shared" ref="K243" si="281">J243+1500-1</f>
        <v>360000</v>
      </c>
      <c r="L243" s="49">
        <f t="shared" si="234"/>
        <v>1866001</v>
      </c>
      <c r="M243" s="49">
        <f t="shared" si="226"/>
        <v>1872000</v>
      </c>
      <c r="N243" s="50">
        <f t="shared" si="235"/>
        <v>6532501</v>
      </c>
      <c r="O243" s="50">
        <f t="shared" si="227"/>
        <v>6552000</v>
      </c>
      <c r="P243" s="47">
        <f t="shared" si="236"/>
        <v>19816501</v>
      </c>
      <c r="Q243" s="47">
        <f t="shared" si="228"/>
        <v>19872000</v>
      </c>
    </row>
  </sheetData>
  <mergeCells count="13">
    <mergeCell ref="F1:G1"/>
    <mergeCell ref="H1:I1"/>
    <mergeCell ref="L1:M1"/>
    <mergeCell ref="F2:G2"/>
    <mergeCell ref="H2:I2"/>
    <mergeCell ref="L2:M2"/>
    <mergeCell ref="J3:K3"/>
    <mergeCell ref="N1:O1"/>
    <mergeCell ref="N2:O2"/>
    <mergeCell ref="P1:Q1"/>
    <mergeCell ref="P2:Q2"/>
    <mergeCell ref="J1:K1"/>
    <mergeCell ref="J2:K2"/>
  </mergeCells>
  <pageMargins left="0.7" right="0.7" top="1.1436999999999999" bottom="1.1436999999999999" header="0.75" footer="0.75"/>
  <pageSetup fitToWidth="0" fitToHeight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ShahAjram</vt:lpstr>
      <vt:lpstr>Ajram_Fonts</vt:lpstr>
      <vt:lpstr>Gen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Humera</dc:creator>
  <cp:lastModifiedBy>H R</cp:lastModifiedBy>
  <cp:revision>1</cp:revision>
  <dcterms:created xsi:type="dcterms:W3CDTF">2025-01-24T18:05:00Z</dcterms:created>
  <dcterms:modified xsi:type="dcterms:W3CDTF">2026-10-20T14:50:30Z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77F9192267F84DC7BEE7C38928014C53_13</vt:lpwstr>
  </property>
  <property fmtid="{D5CDD505-2E9C-101B-9397-08002B2CF9AE}" pid="3" name="KSOProductBuildVer">
    <vt:lpwstr>1033-12.2.0.22530</vt:lpwstr>
  </property>
</Properties>
</file>